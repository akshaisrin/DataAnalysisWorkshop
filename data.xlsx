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30"/>
  <workbookPr/>
  <mc:AlternateContent xmlns:mc="http://schemas.openxmlformats.org/markup-compatibility/2006">
    <mc:Choice Requires="x15">
      <x15ac:absPath xmlns:x15ac="http://schemas.microsoft.com/office/spreadsheetml/2010/11/ac" url="https://uwnetid-my.sharepoint.com/personal/schinta_uw_edu/Documents/TCA/"/>
    </mc:Choice>
  </mc:AlternateContent>
  <xr:revisionPtr revIDLastSave="0" documentId="8_{9B7E328E-42ED-4F25-961B-652851856364}" xr6:coauthVersionLast="47" xr6:coauthVersionMax="47" xr10:uidLastSave="{00000000-0000-0000-0000-000000000000}"/>
  <bookViews>
    <workbookView xWindow="19095" yWindow="0" windowWidth="19410" windowHeight="15585" firstSheet="2" activeTab="2" xr2:uid="{CB857F62-4C84-4BCA-897F-610E8AB2C9E1}"/>
  </bookViews>
  <sheets>
    <sheet name="Income Statement 2024" sheetId="4" r:id="rId1"/>
    <sheet name="Feedback Results" sheetId="7" r:id="rId2"/>
    <sheet name="Web vs Foot Traffic" sheetId="8" r:id="rId3"/>
    <sheet name="Inventory" sheetId="9" r:id="rId4"/>
  </sheet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8" l="1"/>
  <c r="I6" i="8"/>
  <c r="H6" i="8"/>
  <c r="E7" i="8"/>
  <c r="I7" i="8"/>
  <c r="H7" i="8"/>
  <c r="E8" i="8"/>
  <c r="I8" i="8"/>
  <c r="H8" i="8"/>
  <c r="E9" i="8"/>
  <c r="I9" i="8"/>
  <c r="H9" i="8"/>
  <c r="E10" i="8"/>
  <c r="I10" i="8"/>
  <c r="H10" i="8"/>
  <c r="E11" i="8"/>
  <c r="I11" i="8"/>
  <c r="H11" i="8"/>
  <c r="E12" i="8"/>
  <c r="I12" i="8"/>
  <c r="H12" i="8"/>
  <c r="E13" i="8"/>
  <c r="I13" i="8"/>
  <c r="H13" i="8"/>
  <c r="E14" i="8"/>
  <c r="I14" i="8"/>
  <c r="H14" i="8"/>
  <c r="E15" i="8"/>
  <c r="I15" i="8"/>
  <c r="H15" i="8"/>
  <c r="E16" i="8"/>
  <c r="I16" i="8"/>
  <c r="H16" i="8"/>
  <c r="H17" i="8"/>
  <c r="E18" i="8"/>
  <c r="I18" i="8"/>
  <c r="H18" i="8"/>
  <c r="E19" i="8"/>
  <c r="I19" i="8"/>
  <c r="H19" i="8"/>
  <c r="E20" i="8"/>
  <c r="I20" i="8"/>
  <c r="H20" i="8"/>
  <c r="E25" i="8"/>
  <c r="E26" i="8"/>
  <c r="E27" i="8"/>
  <c r="E28" i="8"/>
  <c r="E29" i="8"/>
  <c r="E30" i="8"/>
  <c r="E31" i="8"/>
  <c r="I21" i="4"/>
  <c r="I22" i="4"/>
  <c r="I23" i="4"/>
  <c r="F21" i="4"/>
  <c r="F22" i="4"/>
  <c r="F23" i="4"/>
  <c r="C21" i="4"/>
  <c r="C22" i="4"/>
  <c r="C23" i="4"/>
</calcChain>
</file>

<file path=xl/sharedStrings.xml><?xml version="1.0" encoding="utf-8"?>
<sst xmlns="http://schemas.openxmlformats.org/spreadsheetml/2006/main" count="512" uniqueCount="201">
  <si>
    <t>Scroll right for all data, down for additional info</t>
  </si>
  <si>
    <t xml:space="preserve">2024 Brush n' Buy Income Statement </t>
  </si>
  <si>
    <t xml:space="preserve">February 2025 Brush n' Buy Income Statement </t>
  </si>
  <si>
    <t xml:space="preserve">December 2024 Brush n' Buy Income Statement </t>
  </si>
  <si>
    <t>Sales by Price Range for February and December</t>
  </si>
  <si>
    <t>Account</t>
  </si>
  <si>
    <t>Amount</t>
  </si>
  <si>
    <t>Price Range ($)</t>
  </si>
  <si>
    <t>February Sales</t>
  </si>
  <si>
    <t>February Revenue</t>
  </si>
  <si>
    <t>December Sales</t>
  </si>
  <si>
    <t>December Revenue</t>
  </si>
  <si>
    <t>Revenue</t>
  </si>
  <si>
    <t>$20-39</t>
  </si>
  <si>
    <t>Sales Revenue</t>
  </si>
  <si>
    <t>$40-59</t>
  </si>
  <si>
    <t>Cost of Goods Sold</t>
  </si>
  <si>
    <t>$60-79</t>
  </si>
  <si>
    <t>Artist Commisions</t>
  </si>
  <si>
    <t>$80-99</t>
  </si>
  <si>
    <t>Operating Expenses</t>
  </si>
  <si>
    <t>$100-149</t>
  </si>
  <si>
    <t>Rent</t>
  </si>
  <si>
    <t>$150-199</t>
  </si>
  <si>
    <t>Utilities</t>
  </si>
  <si>
    <t>$200-299</t>
  </si>
  <si>
    <t>Insurance</t>
  </si>
  <si>
    <t>$300-399</t>
  </si>
  <si>
    <t>Wages</t>
  </si>
  <si>
    <t>$400-499</t>
  </si>
  <si>
    <t>Selling, General, and Admin</t>
  </si>
  <si>
    <t>$500-699</t>
  </si>
  <si>
    <t>Marketing</t>
  </si>
  <si>
    <t>Total</t>
  </si>
  <si>
    <t>One-off/Misc. Expenses</t>
  </si>
  <si>
    <t>Net Operating Income</t>
  </si>
  <si>
    <t>Total inventory available per month: 460</t>
  </si>
  <si>
    <t>Art Damage Insurance Fund</t>
  </si>
  <si>
    <t>Net Income</t>
  </si>
  <si>
    <t>ADDITIONAL INFORMATION</t>
  </si>
  <si>
    <t>Artist Commissions are 60% of the price of a piece</t>
  </si>
  <si>
    <t>The one employee is paid $19 per hour, and works 21 hours a week (Tuesday - Thursday, 10AM-5PM)</t>
  </si>
  <si>
    <t>Nia (the owner) takes a $84000 annual salary for herself, and works every single day of operation (Tuesday - Sunday, 10AM - 5PM)</t>
  </si>
  <si>
    <t>Marketing budget goes towards social media ads, flyers, and any materials/promo needed for their collaborations with other organizations (mentioned in the course document). Significant efforts are made to market the gallery and its pieces</t>
  </si>
  <si>
    <t>One-off and misc. expenses include maintenance, repair, supplies, and any other one-time fees</t>
  </si>
  <si>
    <t xml:space="preserve">5% of profits go towards a company-owned fund dedicated towards compensating artists whose works are damaged by customers or staff (Art Damage Insurance Fund). They get 60% of the price of the piece damaged, which is the same commission they would've gotten had the piece sold. More data on specific payouts may be released in a different document </t>
  </si>
  <si>
    <t>Brush n' Buy selects 460 works of art to be displayed each month. This is only possible due to having such a diverse array of offerings (and a large space), with most pieces being small and on the cheaper side. This does mean that less attention is given to each individual piece. More information on specific inventory offerings will be released in a different document.</t>
  </si>
  <si>
    <t>Feedback Form Submissions</t>
  </si>
  <si>
    <t>Date</t>
  </si>
  <si>
    <t>Class</t>
  </si>
  <si>
    <t>Name</t>
  </si>
  <si>
    <t>Feedback</t>
  </si>
  <si>
    <t>Artist</t>
  </si>
  <si>
    <t>Will Turner</t>
  </si>
  <si>
    <t>I am grateful to be able to share my work on this platform! I just wish I could have more insight into my buyers' preferences so I can make pieces I know they'll enjoy</t>
  </si>
  <si>
    <t>Sakura Tanaka</t>
  </si>
  <si>
    <t>I don't get why the website is basically only for customers to buy, but doesn't have anything for artists to upload or anything.</t>
  </si>
  <si>
    <t>Mario</t>
  </si>
  <si>
    <t>My piece wasn't selling, so they docked the price by 25%, and it still didn't sell, so they just gave it back to me and forced me to pay. It should be on THEM for not marketing it right!</t>
  </si>
  <si>
    <t>Buyer</t>
  </si>
  <si>
    <t>Aisha Patel</t>
  </si>
  <si>
    <t>I'd love to be able to see when my favorite artists at Brush'n'Buy release new pieces</t>
  </si>
  <si>
    <t>Cleopatra</t>
  </si>
  <si>
    <t>I applied for a piece to be shown, but it got denied. Went to the gallery, and the piece that took my slot was actually one from the previous month that no one bought. Overpriced doodoo water that prevented me from having glory. Hopefully at least now the big discount will help it sell..</t>
  </si>
  <si>
    <t>Juan Martinez</t>
  </si>
  <si>
    <t>Using Squarespace in 2025 ain't a good look….</t>
  </si>
  <si>
    <t>Ada Wong</t>
  </si>
  <si>
    <t xml:space="preserve">I wanted to be an artist in this gallery, but the process feels like college apps all over again. And plus, 0 guidance is given on prices, and there is no guarantee that the piece will even sell within the two months they require it to be sold by. So annoying. </t>
  </si>
  <si>
    <t>Ibrahim Khan</t>
  </si>
  <si>
    <t>You guys should start selling digital art</t>
  </si>
  <si>
    <t>Katniss Everdeen</t>
  </si>
  <si>
    <t>So glad to see my pieces are selling! Pricing them has been a challenge, though. I do get a general price range, but I know there must be a better way to find the optimal price of a piece.</t>
  </si>
  <si>
    <t>Mei Zhao</t>
  </si>
  <si>
    <t>Some of these prices don't make sense to me. One item feels way too overpriced, but the next feels undervalued. Where are these numbers coming from?</t>
  </si>
  <si>
    <t>Joseph Amadio</t>
  </si>
  <si>
    <t>I know that art can be seasonal. Some types of pieces sell better than others depending on the time of year. I would like some insights into the seasonality of the things I make.</t>
  </si>
  <si>
    <t>Miguel Torres</t>
  </si>
  <si>
    <t>Limited website features. Would love to be able to filter by artist, category of piece, price, etc. Also would like personalized recommendations</t>
  </si>
  <si>
    <t>Elizabeth Nguyen</t>
  </si>
  <si>
    <t>I've seen better web dev from my 11 year old son. And he plays Fortnite all day.</t>
  </si>
  <si>
    <t>Baljeet Kumar</t>
  </si>
  <si>
    <t>Shocked that my amazing NFTs weren't acceptable as an option to be sold. It's 2025, people.</t>
  </si>
  <si>
    <t>Finley Thompson</t>
  </si>
  <si>
    <t>The gallery is super helpful in getting everything set up! We just give the piece, set the price, and they take care of the rest.</t>
  </si>
  <si>
    <t>Amal Hassan</t>
  </si>
  <si>
    <t>Pretty good stuff so far. I have a theory that people tend to like my more vibrant pieces, as I've felt like the more colorful works sold quicker than the more simple ones. But it also could be the price. Or maybe the time of year it was sold. Too many factors to consider...</t>
  </si>
  <si>
    <t>Sammy Gerald</t>
  </si>
  <si>
    <t>I am a data-driven person. I need to see what categories sell better than others, and understand when certain types of pieces sell more than others. Inventory turnover metrics are also valuable.</t>
  </si>
  <si>
    <t>Amina Diallo</t>
  </si>
  <si>
    <t>Ok but why is a crochet muffin priced at $60??? Crazy price..</t>
  </si>
  <si>
    <t>Annabelle Gold</t>
  </si>
  <si>
    <t xml:space="preserve">I really care about my audience, and I want to make sure they enjoy my pieces. I'd love to know how long it takes for pieces to sell, and other important metrics that help me! </t>
  </si>
  <si>
    <t>Andrew Garfield</t>
  </si>
  <si>
    <t>Spiderman portrait was $400. Feels like a ripoff to me. I don't have money just lying around, you know</t>
  </si>
  <si>
    <t>Oprah Winfrey</t>
  </si>
  <si>
    <t>The whole onboarding process to be a part of this was kind of difficult. I wish there could be some online sign up or account or something for artists.</t>
  </si>
  <si>
    <t>Web Traffic Per Month</t>
  </si>
  <si>
    <t>Foot Traffic Per Month</t>
  </si>
  <si>
    <t>Month</t>
  </si>
  <si>
    <t>Total Web Traffic</t>
  </si>
  <si>
    <t>Web Purchases</t>
  </si>
  <si>
    <t>Total Foot Traffic</t>
  </si>
  <si>
    <t>In-Store Purchases</t>
  </si>
  <si>
    <t>Average Hourly Web Activity - Dec 24</t>
  </si>
  <si>
    <t>Hour</t>
  </si>
  <si>
    <t>12 AM - 6 AM</t>
  </si>
  <si>
    <t>6 AM - 9 AM</t>
  </si>
  <si>
    <t>9 AM - 12 PM</t>
  </si>
  <si>
    <t>12 PM - 3 PM</t>
  </si>
  <si>
    <t>3 PM - 6 PM</t>
  </si>
  <si>
    <t>6 PM - 9 PM</t>
  </si>
  <si>
    <t>9 PM - 12 AM</t>
  </si>
  <si>
    <t>Inventory Categories and Space</t>
  </si>
  <si>
    <t>Feb 25 Pottery Inventory</t>
  </si>
  <si>
    <t>Dec 24 Pottery Inventory</t>
  </si>
  <si>
    <t>Categories Offered</t>
  </si>
  <si>
    <t>Total Monthly Slots</t>
  </si>
  <si>
    <t>Units Sold in Feb 25</t>
  </si>
  <si>
    <t>Units Sold in Dec 24</t>
  </si>
  <si>
    <t>SIZE</t>
  </si>
  <si>
    <t>COLOR PROFILE</t>
  </si>
  <si>
    <t>THEME</t>
  </si>
  <si>
    <t>STYLE</t>
  </si>
  <si>
    <t>INFLUENCE</t>
  </si>
  <si>
    <t>ORIGINAL PRICE</t>
  </si>
  <si>
    <t>TIME-TO-SELL</t>
  </si>
  <si>
    <t>Paintings</t>
  </si>
  <si>
    <t>Small</t>
  </si>
  <si>
    <t>Earthy</t>
  </si>
  <si>
    <t>Nature</t>
  </si>
  <si>
    <t>Traditional</t>
  </si>
  <si>
    <t>Cultural Traditions</t>
  </si>
  <si>
    <t>2 days</t>
  </si>
  <si>
    <t>4 days</t>
  </si>
  <si>
    <t>Crochet Art</t>
  </si>
  <si>
    <t>Vibrant</t>
  </si>
  <si>
    <t>Industrial</t>
  </si>
  <si>
    <t>Graphic</t>
  </si>
  <si>
    <t>Internet &amp; Pop Culture</t>
  </si>
  <si>
    <t>41 days</t>
  </si>
  <si>
    <t>Fantasy</t>
  </si>
  <si>
    <t>14 days</t>
  </si>
  <si>
    <t>Wearable Crochet</t>
  </si>
  <si>
    <t>Human</t>
  </si>
  <si>
    <t>Minimalist</t>
  </si>
  <si>
    <t>10 days</t>
  </si>
  <si>
    <t>8 days</t>
  </si>
  <si>
    <t>Sculptural Ceramics</t>
  </si>
  <si>
    <t>18 days</t>
  </si>
  <si>
    <t xml:space="preserve">Mixed Media </t>
  </si>
  <si>
    <t>Grayscale</t>
  </si>
  <si>
    <t>Experimental</t>
  </si>
  <si>
    <t>44 days</t>
  </si>
  <si>
    <t>35 days</t>
  </si>
  <si>
    <t>Jewelry</t>
  </si>
  <si>
    <t>Medium</t>
  </si>
  <si>
    <t>Social &amp; Political Commentary</t>
  </si>
  <si>
    <t>33 days</t>
  </si>
  <si>
    <t>3 days</t>
  </si>
  <si>
    <t>Pottery</t>
  </si>
  <si>
    <t>Surrealist &amp; Psychedelic</t>
  </si>
  <si>
    <t>24 days</t>
  </si>
  <si>
    <t>5 days</t>
  </si>
  <si>
    <t>Graphic Design Prints</t>
  </si>
  <si>
    <t>20 days</t>
  </si>
  <si>
    <t>Photography</t>
  </si>
  <si>
    <t>12 days</t>
  </si>
  <si>
    <t>16 days</t>
  </si>
  <si>
    <t>Functional Art</t>
  </si>
  <si>
    <t>7 days</t>
  </si>
  <si>
    <t>Did not sell</t>
  </si>
  <si>
    <t>Metal Art</t>
  </si>
  <si>
    <t>22 days</t>
  </si>
  <si>
    <t>Drawings</t>
  </si>
  <si>
    <t>Other</t>
  </si>
  <si>
    <t>Collages &amp; Paper Cut Designs</t>
  </si>
  <si>
    <t>51 days</t>
  </si>
  <si>
    <t>32 days</t>
  </si>
  <si>
    <t>Leather &amp; Textiles</t>
  </si>
  <si>
    <t>37 days</t>
  </si>
  <si>
    <t>Clay Sculptures</t>
  </si>
  <si>
    <t>Large</t>
  </si>
  <si>
    <t>Woven Wall Decor</t>
  </si>
  <si>
    <t>Stained Glass &amp; Mosaics</t>
  </si>
  <si>
    <t>Abstract</t>
  </si>
  <si>
    <t>57 days</t>
  </si>
  <si>
    <t xml:space="preserve">Calligraphy &amp; Hand-Lettering </t>
  </si>
  <si>
    <t>27 days</t>
  </si>
  <si>
    <t>Cultural</t>
  </si>
  <si>
    <t>Wooden Sculptures</t>
  </si>
  <si>
    <t>26 days</t>
  </si>
  <si>
    <t>Experimental &amp; Interactive</t>
  </si>
  <si>
    <t>30 days</t>
  </si>
  <si>
    <t>Total:</t>
  </si>
  <si>
    <t>19 days</t>
  </si>
  <si>
    <t>25 days</t>
  </si>
  <si>
    <t>28 days</t>
  </si>
  <si>
    <t xml:space="preserve">22 days </t>
  </si>
  <si>
    <t>Surrealist 8 Psychedelic</t>
  </si>
  <si>
    <t>Additional Information</t>
  </si>
  <si>
    <t>Pieces that have a TIME-TO-SELL of over 30 days are from the previous month, and have a 25% discount applied to the price shown.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</si>
</sst>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44" formatCode="_(&quot;$&quot;* #,##0.00_);_(&quot;$&quot;* \(#,##0.00\);_(&quot;$&quot;* &quot;-&quot;??_);_(@_)"/>
    <numFmt numFmtId="164" formatCode="&quot;$&quot;#,##0.00"/>
  </numFmts>
  <fonts count="7">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b/>
      <sz val="11"/>
      <color rgb="FFFFFFFF"/>
      <name val="Aptos Narrow"/>
      <family val="2"/>
      <scheme val="minor"/>
    </font>
    <font>
      <sz val="11"/>
      <color rgb="FF000000"/>
      <name val="Aptos Narrow"/>
      <family val="2"/>
      <scheme val="minor"/>
    </font>
    <font>
      <b/>
      <sz val="11"/>
      <color rgb="FF000000"/>
      <name val="Aptos Narrow"/>
      <family val="2"/>
      <scheme val="minor"/>
    </font>
  </fonts>
  <fills count="5">
    <fill>
      <patternFill patternType="none"/>
    </fill>
    <fill>
      <patternFill patternType="gray125"/>
    </fill>
    <fill>
      <patternFill patternType="solid">
        <fgColor rgb="FF156082"/>
        <bgColor rgb="FF156082"/>
      </patternFill>
    </fill>
    <fill>
      <patternFill patternType="solid">
        <fgColor theme="0"/>
        <bgColor rgb="FFC0E6F5"/>
      </patternFill>
    </fill>
    <fill>
      <patternFill patternType="solid">
        <fgColor rgb="FFC0E6F5"/>
        <bgColor rgb="FFC0E6F5"/>
      </patternFill>
    </fill>
  </fills>
  <borders count="9">
    <border>
      <left/>
      <right/>
      <top/>
      <bottom/>
      <diagonal/>
    </border>
    <border>
      <left/>
      <right/>
      <top/>
      <bottom style="double">
        <color indexed="64"/>
      </bottom>
      <diagonal/>
    </border>
    <border>
      <left/>
      <right style="thin">
        <color rgb="FF44B3E1"/>
      </right>
      <top style="thin">
        <color rgb="FF44B3E1"/>
      </top>
      <bottom style="thin">
        <color rgb="FF44B3E1"/>
      </bottom>
      <diagonal/>
    </border>
    <border>
      <left/>
      <right/>
      <top style="thin">
        <color rgb="FF44B3E1"/>
      </top>
      <bottom style="thin">
        <color rgb="FF44B3E1"/>
      </bottom>
      <diagonal/>
    </border>
    <border>
      <left style="thin">
        <color rgb="FF44B3E1"/>
      </left>
      <right/>
      <top style="thin">
        <color rgb="FF44B3E1"/>
      </top>
      <bottom style="thin">
        <color rgb="FF44B3E1"/>
      </bottom>
      <diagonal/>
    </border>
    <border>
      <left/>
      <right style="thin">
        <color rgb="FF44B3E1"/>
      </right>
      <top/>
      <bottom style="thin">
        <color rgb="FF44B3E1"/>
      </bottom>
      <diagonal/>
    </border>
    <border>
      <left/>
      <right/>
      <top/>
      <bottom style="thin">
        <color rgb="FF44B3E1"/>
      </bottom>
      <diagonal/>
    </border>
    <border>
      <left style="thin">
        <color rgb="FF44B3E1"/>
      </left>
      <right/>
      <top/>
      <bottom style="thin">
        <color rgb="FF44B3E1"/>
      </bottom>
      <diagonal/>
    </border>
    <border>
      <left style="thin">
        <color rgb="FF44B3E1"/>
      </left>
      <right style="thin">
        <color rgb="FF44B3E1"/>
      </right>
      <top style="thin">
        <color rgb="FF44B3E1"/>
      </top>
      <bottom style="thin">
        <color rgb="FF44B3E1"/>
      </bottom>
      <diagonal/>
    </border>
  </borders>
  <cellStyleXfs count="2">
    <xf numFmtId="0" fontId="0" fillId="0" borderId="0"/>
    <xf numFmtId="44" fontId="1" fillId="0" borderId="0" applyFont="0" applyFill="0" applyBorder="0" applyAlignment="0" applyProtection="0"/>
  </cellStyleXfs>
  <cellXfs count="49">
    <xf numFmtId="0" fontId="0" fillId="0" borderId="0" xfId="0"/>
    <xf numFmtId="0" fontId="2" fillId="0" borderId="0" xfId="0" applyFont="1" applyAlignment="1">
      <alignment horizontal="center" vertical="center" wrapText="1"/>
    </xf>
    <xf numFmtId="0" fontId="2" fillId="0" borderId="0" xfId="0" applyFont="1" applyAlignment="1">
      <alignment vertical="center" wrapText="1"/>
    </xf>
    <xf numFmtId="44" fontId="0" fillId="0" borderId="0" xfId="0" applyNumberFormat="1"/>
    <xf numFmtId="44" fontId="0" fillId="0" borderId="1" xfId="0" applyNumberFormat="1" applyBorder="1"/>
    <xf numFmtId="0" fontId="0" fillId="0" borderId="0" xfId="0" applyAlignment="1">
      <alignment horizontal="right"/>
    </xf>
    <xf numFmtId="0" fontId="2" fillId="0" borderId="0" xfId="0" applyFont="1" applyAlignment="1">
      <alignment horizontal="left"/>
    </xf>
    <xf numFmtId="0" fontId="2" fillId="0" borderId="0" xfId="0" applyFont="1"/>
    <xf numFmtId="0" fontId="0" fillId="0" borderId="1" xfId="0" applyBorder="1" applyAlignment="1">
      <alignment horizontal="right"/>
    </xf>
    <xf numFmtId="0" fontId="0" fillId="0" borderId="0" xfId="0" applyAlignment="1">
      <alignment vertical="top" wrapText="1"/>
    </xf>
    <xf numFmtId="0" fontId="0" fillId="0" borderId="0" xfId="0" applyAlignment="1">
      <alignment wrapText="1"/>
    </xf>
    <xf numFmtId="0" fontId="0" fillId="0" borderId="0" xfId="0" applyAlignment="1">
      <alignment horizontal="center"/>
    </xf>
    <xf numFmtId="164" fontId="0" fillId="0" borderId="0" xfId="0" applyNumberFormat="1" applyAlignment="1">
      <alignment horizontal="right"/>
    </xf>
    <xf numFmtId="44" fontId="0" fillId="0" borderId="0" xfId="1" applyFont="1"/>
    <xf numFmtId="14" fontId="0" fillId="0" borderId="0" xfId="0" applyNumberFormat="1" applyAlignment="1">
      <alignment wrapText="1"/>
    </xf>
    <xf numFmtId="0" fontId="5" fillId="3" borderId="0" xfId="0" applyFont="1" applyFill="1" applyAlignment="1">
      <alignment wrapText="1"/>
    </xf>
    <xf numFmtId="14" fontId="5" fillId="3" borderId="0" xfId="0" applyNumberFormat="1" applyFont="1" applyFill="1" applyAlignment="1">
      <alignment wrapText="1"/>
    </xf>
    <xf numFmtId="0" fontId="5" fillId="0" borderId="2" xfId="0" applyFont="1" applyBorder="1" applyAlignment="1">
      <alignment wrapText="1"/>
    </xf>
    <xf numFmtId="0" fontId="5" fillId="0" borderId="3" xfId="0" applyFont="1" applyBorder="1" applyAlignment="1">
      <alignment wrapText="1"/>
    </xf>
    <xf numFmtId="14" fontId="5" fillId="0" borderId="4" xfId="0" applyNumberFormat="1" applyFont="1" applyBorder="1" applyAlignment="1">
      <alignment wrapText="1"/>
    </xf>
    <xf numFmtId="0" fontId="5" fillId="3" borderId="2" xfId="0" applyFont="1" applyFill="1" applyBorder="1" applyAlignment="1">
      <alignment wrapText="1"/>
    </xf>
    <xf numFmtId="0" fontId="5" fillId="3" borderId="3" xfId="0" applyFont="1" applyFill="1" applyBorder="1" applyAlignment="1">
      <alignment wrapText="1"/>
    </xf>
    <xf numFmtId="14" fontId="5" fillId="3" borderId="4" xfId="0" applyNumberFormat="1" applyFont="1" applyFill="1" applyBorder="1" applyAlignment="1">
      <alignment wrapText="1"/>
    </xf>
    <xf numFmtId="0" fontId="0" fillId="0" borderId="2" xfId="0" applyBorder="1"/>
    <xf numFmtId="0" fontId="0" fillId="0" borderId="3" xfId="0" applyBorder="1"/>
    <xf numFmtId="14" fontId="0" fillId="0" borderId="4" xfId="0" applyNumberFormat="1" applyBorder="1"/>
    <xf numFmtId="0" fontId="5" fillId="4" borderId="2" xfId="0" applyFont="1" applyFill="1" applyBorder="1" applyAlignment="1">
      <alignment wrapText="1"/>
    </xf>
    <xf numFmtId="0" fontId="5" fillId="4" borderId="3" xfId="0" applyFont="1" applyFill="1" applyBorder="1" applyAlignment="1">
      <alignment wrapText="1"/>
    </xf>
    <xf numFmtId="14" fontId="5" fillId="4" borderId="4" xfId="0" applyNumberFormat="1" applyFont="1" applyFill="1" applyBorder="1" applyAlignment="1">
      <alignment wrapText="1"/>
    </xf>
    <xf numFmtId="0" fontId="4" fillId="2" borderId="5" xfId="0" applyFont="1" applyFill="1" applyBorder="1" applyAlignment="1">
      <alignment wrapText="1"/>
    </xf>
    <xf numFmtId="0" fontId="4" fillId="2" borderId="6" xfId="0" applyFont="1" applyFill="1" applyBorder="1" applyAlignment="1">
      <alignment wrapText="1"/>
    </xf>
    <xf numFmtId="0" fontId="4" fillId="2" borderId="7" xfId="0" applyFont="1" applyFill="1" applyBorder="1" applyAlignment="1">
      <alignment wrapText="1"/>
    </xf>
    <xf numFmtId="0" fontId="2" fillId="0" borderId="0" xfId="0" applyFont="1" applyAlignment="1">
      <alignment horizontal="left" vertical="center" indent="1"/>
    </xf>
    <xf numFmtId="0" fontId="0" fillId="0" borderId="0" xfId="0" applyAlignment="1">
      <alignment horizontal="left" vertical="center" indent="1"/>
    </xf>
    <xf numFmtId="17" fontId="0" fillId="0" borderId="0" xfId="0" applyNumberFormat="1"/>
    <xf numFmtId="0" fontId="5" fillId="4" borderId="8" xfId="0" applyFont="1" applyFill="1" applyBorder="1" applyAlignment="1">
      <alignment wrapText="1"/>
    </xf>
    <xf numFmtId="0" fontId="5" fillId="0" borderId="0" xfId="0" applyFont="1" applyAlignment="1">
      <alignment wrapText="1"/>
    </xf>
    <xf numFmtId="0" fontId="4" fillId="2" borderId="4" xfId="0" applyFont="1" applyFill="1" applyBorder="1" applyAlignment="1">
      <alignment wrapText="1"/>
    </xf>
    <xf numFmtId="0" fontId="4" fillId="2" borderId="3" xfId="0" applyFont="1" applyFill="1" applyBorder="1" applyAlignment="1">
      <alignment wrapText="1"/>
    </xf>
    <xf numFmtId="0" fontId="4" fillId="2" borderId="2" xfId="0" applyFont="1" applyFill="1" applyBorder="1" applyAlignment="1">
      <alignment wrapText="1"/>
    </xf>
    <xf numFmtId="0" fontId="5" fillId="4" borderId="4" xfId="0" applyFont="1" applyFill="1" applyBorder="1" applyAlignment="1">
      <alignment wrapText="1"/>
    </xf>
    <xf numFmtId="6" fontId="5" fillId="4" borderId="3" xfId="0" applyNumberFormat="1" applyFont="1" applyFill="1" applyBorder="1" applyAlignment="1">
      <alignment wrapText="1"/>
    </xf>
    <xf numFmtId="0" fontId="5" fillId="0" borderId="4" xfId="0" applyFont="1" applyBorder="1" applyAlignment="1">
      <alignment wrapText="1"/>
    </xf>
    <xf numFmtId="6" fontId="5" fillId="0" borderId="3" xfId="0" applyNumberFormat="1" applyFont="1" applyBorder="1" applyAlignment="1">
      <alignment wrapText="1"/>
    </xf>
    <xf numFmtId="0" fontId="6" fillId="0" borderId="0" xfId="0" applyFont="1" applyAlignment="1">
      <alignment wrapText="1"/>
    </xf>
    <xf numFmtId="0" fontId="4" fillId="2" borderId="8" xfId="0" applyFont="1" applyFill="1" applyBorder="1" applyAlignment="1">
      <alignment wrapText="1"/>
    </xf>
    <xf numFmtId="0" fontId="2" fillId="0" borderId="0" xfId="0" applyFont="1" applyAlignment="1">
      <alignment horizontal="center"/>
    </xf>
    <xf numFmtId="0" fontId="0" fillId="0" borderId="0" xfId="0" applyAlignment="1">
      <alignment horizontal="center"/>
    </xf>
    <xf numFmtId="0" fontId="6" fillId="0" borderId="6" xfId="0" applyFont="1" applyBorder="1" applyAlignment="1">
      <alignment horizontal="center" wrapText="1"/>
    </xf>
  </cellXfs>
  <cellStyles count="2">
    <cellStyle name="Currency" xfId="1" builtinId="4"/>
    <cellStyle name="Normal" xfId="0" builtinId="0"/>
  </cellStyles>
  <dxfs count="16">
    <dxf>
      <font>
        <b/>
        <i val="0"/>
        <strike val="0"/>
        <condense val="0"/>
        <extend val="0"/>
        <outline val="0"/>
        <shadow val="0"/>
        <u val="none"/>
        <vertAlign val="baseline"/>
        <sz val="11"/>
        <color theme="1"/>
        <name val="Aptos Narrow"/>
        <family val="2"/>
        <scheme val="minor"/>
      </font>
      <numFmt numFmtId="0" formatCode="General"/>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numFmt numFmtId="0" formatCode="General"/>
    </dxf>
    <dxf>
      <numFmt numFmtId="22" formatCode="mmm\-yy"/>
    </dxf>
    <dxf>
      <border outline="0">
        <bottom style="thin">
          <color rgb="FF44B3E1"/>
        </bottom>
      </border>
    </dxf>
    <dxf>
      <border outline="0">
        <top style="thin">
          <color rgb="FF44B3E1"/>
        </top>
      </border>
    </dxf>
    <dxf>
      <font>
        <b/>
        <i val="0"/>
        <strike val="0"/>
        <condense val="0"/>
        <extend val="0"/>
        <outline val="0"/>
        <shadow val="0"/>
        <u val="none"/>
        <vertAlign val="baseline"/>
        <sz val="11"/>
        <color rgb="FFFFFFFF"/>
        <name val="Aptos Narrow"/>
        <family val="2"/>
        <scheme val="minor"/>
      </font>
      <fill>
        <patternFill patternType="solid">
          <fgColor rgb="FF156082"/>
          <bgColor rgb="FF156082"/>
        </patternFill>
      </fill>
      <alignment horizontal="general" vertical="bottom" textRotation="0" wrapText="1" indent="0" justifyLastLine="0" shrinkToFit="0" readingOrder="0"/>
    </dxf>
    <dxf>
      <numFmt numFmtId="34" formatCode="_(&quot;$&quot;* #,##0.00_);_(&quot;$&quot;* \(#,##0.00\);_(&quot;$&quot;* &quot;-&quot;??_);_(@_)"/>
    </dxf>
    <dxf>
      <numFmt numFmtId="34" formatCode="_(&quot;$&quot;* #,##0.00_);_(&quot;$&quot;* \(#,##0.00\);_(&quot;$&quot;* &quot;-&quot;??_);_(@_)"/>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bottom" textRotation="0" wrapText="0" indent="0" justifyLastLine="0" shrinkToFit="0" readingOrder="0"/>
    </dxf>
    <dxf>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88153B7-0C14-47E7-89C7-9CB66C42337B}" name="Table4" displayName="Table4" ref="B8:C23" totalsRowShown="0">
  <autoFilter ref="B8:C23" xr:uid="{F88153B7-0C14-47E7-89C7-9CB66C42337B}"/>
  <tableColumns count="2">
    <tableColumn id="1" xr3:uid="{8F8E56E3-917E-4A92-AF06-CF74ECE114E3}" name="Account"/>
    <tableColumn id="2" xr3:uid="{916075E4-D6C2-46CE-9891-84947293B937}" name="Amount" dataDxfId="1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6BD8821-518F-4596-99AF-93B85FF835F7}" name="Table5" displayName="Table5" ref="B26:B33" totalsRowShown="0" headerRowDxfId="14" dataDxfId="13">
  <autoFilter ref="B26:B33" xr:uid="{66BD8821-518F-4596-99AF-93B85FF835F7}"/>
  <tableColumns count="1">
    <tableColumn id="1" xr3:uid="{A335642F-E77B-4690-A133-81CD99C3B04C}" name="ADDITIONAL INFORMATION" dataDxfId="12"/>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47FB76A-711B-4E0D-BA6D-08AE8212A306}" name="Table478" displayName="Table478" ref="E8:F23" totalsRowShown="0">
  <autoFilter ref="E8:F23" xr:uid="{E47FB76A-711B-4E0D-BA6D-08AE8212A306}"/>
  <tableColumns count="2">
    <tableColumn id="1" xr3:uid="{58BD730C-688A-43B8-AAC7-C178AAED824E}" name="Account"/>
    <tableColumn id="2" xr3:uid="{C540EFA5-3A40-4DF5-8C71-320678B3C3DC}" name="Amount" dataDxfId="1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7A27DDA-0332-4D94-871D-592D20260E0B}" name="Table4789" displayName="Table4789" ref="H8:I23" totalsRowShown="0">
  <autoFilter ref="H8:I23" xr:uid="{A7A27DDA-0332-4D94-871D-592D20260E0B}"/>
  <tableColumns count="2">
    <tableColumn id="1" xr3:uid="{2A27874A-BA16-43F3-B850-A1C6908C3EEE}" name="Account"/>
    <tableColumn id="2" xr3:uid="{9606F1BA-047E-4583-A285-D16759A3A043}" name="Amount" dataDxfId="1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EA7ADEC-4756-4022-8A3D-BDD82420A96C}" name="Table9" displayName="Table9" ref="K8:O19" totalsRowShown="0">
  <autoFilter ref="K8:O19" xr:uid="{3EA7ADEC-4756-4022-8A3D-BDD82420A96C}"/>
  <tableColumns count="5">
    <tableColumn id="1" xr3:uid="{DF295015-2F4F-494F-AE37-CA10206970F3}" name="Price Range ($)"/>
    <tableColumn id="2" xr3:uid="{E6CC0E20-A6A3-43C3-A4C6-452D4E6C0C0D}" name="February Sales"/>
    <tableColumn id="3" xr3:uid="{B5ADF25E-171D-4713-858E-8D2B610B0046}" name="February Revenue"/>
    <tableColumn id="4" xr3:uid="{21842DC7-514A-446C-83DF-44FE03CECA17}" name="December Sales"/>
    <tableColumn id="5" xr3:uid="{C8C4A612-BF0C-4F12-BE91-57D30D82A0C8}" name="December Revenu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320B582-B27E-473F-8A7D-E528D6ADEFBB}" name="Table2" displayName="Table2" ref="C6:F27" totalsRowShown="0" headerRowDxfId="9" headerRowBorderDxfId="7" tableBorderDxfId="8">
  <autoFilter ref="C6:F27" xr:uid="{00B178AB-9C06-774C-9D55-0C6D45AF0A39}"/>
  <sortState xmlns:xlrd2="http://schemas.microsoft.com/office/spreadsheetml/2017/richdata2" ref="C7:F27">
    <sortCondition ref="C6:C27"/>
  </sortState>
  <tableColumns count="4">
    <tableColumn id="1" xr3:uid="{9C7E1A88-4DA8-2746-AEF9-BD12890C896B}" name="Date"/>
    <tableColumn id="2" xr3:uid="{63813C8A-2F41-9C42-A235-BF6F3D5C31FF}" name="Class"/>
    <tableColumn id="3" xr3:uid="{B86FDBC0-D1BC-BD4C-80D3-2938690D5B4E}" name="Name"/>
    <tableColumn id="4" xr3:uid="{14F810F4-BBCA-824A-A137-C8599B3C16B6}" name="Feedback"/>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4F1FB99-6E48-49F5-B65C-AACC227C1A19}" name="Table412" displayName="Table412" ref="C5:E20" totalsRowShown="0">
  <autoFilter ref="C5:E20" xr:uid="{B0922DD1-83CD-704E-9007-D2707A9B545D}"/>
  <sortState xmlns:xlrd2="http://schemas.microsoft.com/office/spreadsheetml/2017/richdata2" ref="C6:E20">
    <sortCondition ref="C5:C20"/>
  </sortState>
  <tableColumns count="3">
    <tableColumn id="1" xr3:uid="{23A8390F-6751-964E-94D3-5FF4C3417F33}" name="Month"/>
    <tableColumn id="2" xr3:uid="{D60E5415-732D-564B-A116-6B86DA771D8A}" name="Total Web Traffic"/>
    <tableColumn id="3" xr3:uid="{5EC04A26-653E-E543-B9F0-00820003D734}" name="Web Purchases">
      <calculatedColumnFormula>ROUNDUP(D6*0.05, 0)</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DB6C62F-25FA-402D-91BB-377FA6F1B67E}" name="Table913" displayName="Table913" ref="G5:I20" totalsRowShown="0">
  <autoFilter ref="G5:I20" xr:uid="{414F5891-363E-4193-A7AB-EABB8E096DA3}"/>
  <tableColumns count="3">
    <tableColumn id="1" xr3:uid="{ACBBC1A9-5BA4-4895-B805-AC83B3E6F6DE}" name="Month" dataDxfId="6"/>
    <tableColumn id="2" xr3:uid="{41F92934-A690-424B-AFBB-8936BE60AFE4}" name="Total Foot Traffic" dataDxfId="5">
      <calculatedColumnFormula>ROUND(I6/0.07, 0)</calculatedColumnFormula>
    </tableColumn>
    <tableColumn id="3" xr3:uid="{175AE9DE-7296-445A-AE11-D4628FC633FB}" name="In-Store Purchases">
      <calculatedColumnFormula>ROUND((E6/0.4)*0.6, 0)</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ACC6B87-951D-4457-B23E-E5AA444E5774}" name="Table10" displayName="Table10" ref="C24:E31" totalsRowShown="0" headerRowDxfId="4" dataDxfId="3">
  <autoFilter ref="C24:E31" xr:uid="{B6A81E2A-D677-46D4-984A-577620B0D6D0}"/>
  <tableColumns count="3">
    <tableColumn id="1" xr3:uid="{69C472ED-3771-4B99-8F8C-0771B6F536E1}" name="Hour" dataDxfId="2"/>
    <tableColumn id="2" xr3:uid="{B828E108-CEF5-4038-AA38-E06EB198A015}" name="Total Web Traffic" dataDxfId="1"/>
    <tableColumn id="3" xr3:uid="{F5D3BFB3-73C9-4CC6-B35C-3DFB719BB130}" name="Web Purchases" dataDxfId="0">
      <calculatedColumnFormula>ROUND(D25*0.05, 0)</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6.xml"/></Relationships>
</file>

<file path=xl/worksheets/_rels/sheet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BDF7A-BDEA-42B9-8F2C-D20942FF5051}">
  <dimension ref="B4:O33"/>
  <sheetViews>
    <sheetView zoomScaleNormal="100" workbookViewId="0">
      <selection activeCell="B33" sqref="B33"/>
    </sheetView>
  </sheetViews>
  <sheetFormatPr defaultRowHeight="15"/>
  <cols>
    <col min="2" max="2" width="46.42578125" customWidth="1"/>
    <col min="3" max="3" width="19.85546875" customWidth="1"/>
    <col min="5" max="5" width="35.7109375" customWidth="1"/>
    <col min="6" max="6" width="25.42578125" customWidth="1"/>
    <col min="8" max="8" width="34.42578125" customWidth="1"/>
    <col min="9" max="9" width="24.5703125" customWidth="1"/>
    <col min="10" max="10" width="9.5703125" customWidth="1"/>
    <col min="11" max="11" width="24" customWidth="1"/>
    <col min="12" max="12" width="16.42578125" customWidth="1"/>
    <col min="13" max="13" width="23.7109375" customWidth="1"/>
    <col min="14" max="14" width="19.7109375" customWidth="1"/>
    <col min="15" max="15" width="21.140625" customWidth="1"/>
  </cols>
  <sheetData>
    <row r="4" spans="2:15">
      <c r="B4" t="s">
        <v>0</v>
      </c>
    </row>
    <row r="7" spans="2:15">
      <c r="B7" s="46" t="s">
        <v>1</v>
      </c>
      <c r="C7" s="47"/>
      <c r="E7" s="46" t="s">
        <v>2</v>
      </c>
      <c r="F7" s="46"/>
      <c r="H7" s="46" t="s">
        <v>3</v>
      </c>
      <c r="I7" s="46"/>
      <c r="K7" s="46" t="s">
        <v>4</v>
      </c>
      <c r="L7" s="46"/>
      <c r="M7" s="46"/>
      <c r="N7" s="46"/>
      <c r="O7" s="46"/>
    </row>
    <row r="8" spans="2:15">
      <c r="B8" t="s">
        <v>5</v>
      </c>
      <c r="C8" t="s">
        <v>6</v>
      </c>
      <c r="E8" t="s">
        <v>5</v>
      </c>
      <c r="F8" t="s">
        <v>6</v>
      </c>
      <c r="H8" t="s">
        <v>5</v>
      </c>
      <c r="I8" t="s">
        <v>6</v>
      </c>
      <c r="K8" t="s">
        <v>7</v>
      </c>
      <c r="L8" t="s">
        <v>8</v>
      </c>
      <c r="M8" t="s">
        <v>9</v>
      </c>
      <c r="N8" t="s">
        <v>10</v>
      </c>
      <c r="O8" t="s">
        <v>11</v>
      </c>
    </row>
    <row r="9" spans="2:15">
      <c r="B9" s="7" t="s">
        <v>12</v>
      </c>
      <c r="C9" s="3"/>
      <c r="E9" s="7" t="s">
        <v>12</v>
      </c>
      <c r="F9" s="3"/>
      <c r="H9" s="7" t="s">
        <v>12</v>
      </c>
      <c r="I9" s="3"/>
      <c r="K9" t="s">
        <v>13</v>
      </c>
      <c r="L9">
        <v>61</v>
      </c>
      <c r="M9" s="3">
        <v>1830</v>
      </c>
      <c r="N9">
        <v>68</v>
      </c>
      <c r="O9" s="13">
        <v>2040</v>
      </c>
    </row>
    <row r="10" spans="2:15">
      <c r="B10" s="5" t="s">
        <v>14</v>
      </c>
      <c r="C10" s="3">
        <v>499920</v>
      </c>
      <c r="E10" s="5" t="s">
        <v>14</v>
      </c>
      <c r="F10" s="3">
        <v>37130</v>
      </c>
      <c r="H10" s="5" t="s">
        <v>14</v>
      </c>
      <c r="I10" s="3">
        <v>50720</v>
      </c>
      <c r="K10" t="s">
        <v>15</v>
      </c>
      <c r="L10">
        <v>70</v>
      </c>
      <c r="M10" s="3">
        <v>3500</v>
      </c>
      <c r="N10">
        <v>82</v>
      </c>
      <c r="O10" s="13">
        <v>4100</v>
      </c>
    </row>
    <row r="11" spans="2:15">
      <c r="B11" s="7" t="s">
        <v>16</v>
      </c>
      <c r="C11" s="3"/>
      <c r="E11" s="7" t="s">
        <v>16</v>
      </c>
      <c r="F11" s="3"/>
      <c r="H11" s="7" t="s">
        <v>16</v>
      </c>
      <c r="I11" s="3"/>
      <c r="K11" t="s">
        <v>17</v>
      </c>
      <c r="L11">
        <v>46</v>
      </c>
      <c r="M11" s="3">
        <v>3220</v>
      </c>
      <c r="N11">
        <v>60</v>
      </c>
      <c r="O11" s="13">
        <v>4200</v>
      </c>
    </row>
    <row r="12" spans="2:15" ht="17.25" customHeight="1">
      <c r="B12" s="5" t="s">
        <v>18</v>
      </c>
      <c r="C12" s="3">
        <v>-299952</v>
      </c>
      <c r="E12" s="5" t="s">
        <v>18</v>
      </c>
      <c r="F12" s="3">
        <v>-22278</v>
      </c>
      <c r="H12" s="5" t="s">
        <v>18</v>
      </c>
      <c r="I12" s="3">
        <v>-30432</v>
      </c>
      <c r="K12" t="s">
        <v>19</v>
      </c>
      <c r="L12">
        <v>47</v>
      </c>
      <c r="M12" s="3">
        <v>4230</v>
      </c>
      <c r="N12">
        <v>62</v>
      </c>
      <c r="O12" s="13">
        <v>5580</v>
      </c>
    </row>
    <row r="13" spans="2:15">
      <c r="B13" s="7" t="s">
        <v>20</v>
      </c>
      <c r="C13" s="3"/>
      <c r="E13" s="7" t="s">
        <v>20</v>
      </c>
      <c r="F13" s="3"/>
      <c r="H13" s="7" t="s">
        <v>20</v>
      </c>
      <c r="I13" s="3"/>
      <c r="K13" t="s">
        <v>21</v>
      </c>
      <c r="L13">
        <v>38</v>
      </c>
      <c r="M13" s="3">
        <v>4750</v>
      </c>
      <c r="N13">
        <v>50</v>
      </c>
      <c r="O13" s="13">
        <v>6250</v>
      </c>
    </row>
    <row r="14" spans="2:15">
      <c r="B14" s="5" t="s">
        <v>22</v>
      </c>
      <c r="C14" s="3">
        <v>-43200</v>
      </c>
      <c r="E14" s="5" t="s">
        <v>22</v>
      </c>
      <c r="F14" s="3">
        <v>-3600</v>
      </c>
      <c r="H14" s="5" t="s">
        <v>22</v>
      </c>
      <c r="I14" s="3">
        <v>-3600</v>
      </c>
      <c r="K14" t="s">
        <v>23</v>
      </c>
      <c r="L14">
        <v>24</v>
      </c>
      <c r="M14" s="3">
        <v>4200</v>
      </c>
      <c r="N14">
        <v>34</v>
      </c>
      <c r="O14" s="13">
        <v>5950</v>
      </c>
    </row>
    <row r="15" spans="2:15">
      <c r="B15" s="5" t="s">
        <v>24</v>
      </c>
      <c r="C15" s="3">
        <v>-7800</v>
      </c>
      <c r="E15" s="5" t="s">
        <v>24</v>
      </c>
      <c r="F15" s="3">
        <v>-650</v>
      </c>
      <c r="H15" s="5" t="s">
        <v>24</v>
      </c>
      <c r="I15" s="3">
        <v>-650</v>
      </c>
      <c r="K15" t="s">
        <v>25</v>
      </c>
      <c r="L15">
        <v>19</v>
      </c>
      <c r="M15" s="3">
        <v>4750</v>
      </c>
      <c r="N15">
        <v>27</v>
      </c>
      <c r="O15" s="13">
        <v>6750</v>
      </c>
    </row>
    <row r="16" spans="2:15">
      <c r="B16" s="5" t="s">
        <v>26</v>
      </c>
      <c r="C16" s="3">
        <v>-10200</v>
      </c>
      <c r="E16" s="5" t="s">
        <v>26</v>
      </c>
      <c r="F16" s="3">
        <v>-850</v>
      </c>
      <c r="H16" s="5" t="s">
        <v>26</v>
      </c>
      <c r="I16" s="3">
        <v>-850</v>
      </c>
      <c r="K16" t="s">
        <v>27</v>
      </c>
      <c r="L16">
        <v>12</v>
      </c>
      <c r="M16" s="3">
        <v>4200</v>
      </c>
      <c r="N16">
        <v>17</v>
      </c>
      <c r="O16" s="13">
        <v>5950</v>
      </c>
    </row>
    <row r="17" spans="2:15">
      <c r="B17" s="5" t="s">
        <v>28</v>
      </c>
      <c r="C17" s="3">
        <v>-104748</v>
      </c>
      <c r="E17" s="5" t="s">
        <v>28</v>
      </c>
      <c r="F17" s="3">
        <v>-8729</v>
      </c>
      <c r="H17" s="5" t="s">
        <v>28</v>
      </c>
      <c r="I17" s="3">
        <v>-8729</v>
      </c>
      <c r="K17" t="s">
        <v>29</v>
      </c>
      <c r="L17">
        <v>9</v>
      </c>
      <c r="M17" s="3">
        <v>4050</v>
      </c>
      <c r="N17">
        <v>14</v>
      </c>
      <c r="O17" s="13">
        <v>6300</v>
      </c>
    </row>
    <row r="18" spans="2:15">
      <c r="B18" s="6" t="s">
        <v>30</v>
      </c>
      <c r="C18" s="3"/>
      <c r="E18" s="6" t="s">
        <v>30</v>
      </c>
      <c r="F18" s="3"/>
      <c r="H18" s="6" t="s">
        <v>30</v>
      </c>
      <c r="I18" s="3"/>
      <c r="K18" t="s">
        <v>31</v>
      </c>
      <c r="L18">
        <v>4</v>
      </c>
      <c r="M18" s="3">
        <v>2400</v>
      </c>
      <c r="N18">
        <v>6</v>
      </c>
      <c r="O18" s="13">
        <v>3600</v>
      </c>
    </row>
    <row r="19" spans="2:15">
      <c r="B19" s="5" t="s">
        <v>32</v>
      </c>
      <c r="C19" s="3">
        <v>-2700</v>
      </c>
      <c r="E19" s="5" t="s">
        <v>32</v>
      </c>
      <c r="F19" s="3">
        <v>-220</v>
      </c>
      <c r="H19" s="5" t="s">
        <v>32</v>
      </c>
      <c r="I19" s="3">
        <v>-310</v>
      </c>
      <c r="K19" t="s">
        <v>33</v>
      </c>
      <c r="L19">
        <v>330</v>
      </c>
      <c r="M19" s="12">
        <v>37130</v>
      </c>
      <c r="N19">
        <v>420</v>
      </c>
      <c r="O19" s="3">
        <v>50720</v>
      </c>
    </row>
    <row r="20" spans="2:15">
      <c r="B20" s="5" t="s">
        <v>34</v>
      </c>
      <c r="C20" s="3">
        <v>-987</v>
      </c>
      <c r="E20" s="5" t="s">
        <v>34</v>
      </c>
      <c r="F20" s="3">
        <v>-95</v>
      </c>
      <c r="H20" s="5" t="s">
        <v>34</v>
      </c>
      <c r="I20" s="3">
        <v>-115</v>
      </c>
    </row>
    <row r="21" spans="2:15">
      <c r="B21" s="7" t="s">
        <v>35</v>
      </c>
      <c r="C21" s="3">
        <f>C10+C12+SUM(C14:C17)+C19+C20</f>
        <v>30333</v>
      </c>
      <c r="E21" s="7" t="s">
        <v>35</v>
      </c>
      <c r="F21" s="3">
        <f>F10+SUM(F12, F14:F17, F19, F20)</f>
        <v>708</v>
      </c>
      <c r="H21" s="7" t="s">
        <v>35</v>
      </c>
      <c r="I21" s="3">
        <f>I10+SUM(I12, I14:I17, I19, I20)</f>
        <v>6034</v>
      </c>
      <c r="K21" s="46" t="s">
        <v>36</v>
      </c>
      <c r="L21" s="46"/>
    </row>
    <row r="22" spans="2:15" ht="15.75" thickBot="1">
      <c r="B22" s="8" t="s">
        <v>37</v>
      </c>
      <c r="C22" s="4">
        <f>-0.05*C21</f>
        <v>-1516.65</v>
      </c>
      <c r="E22" s="8" t="s">
        <v>37</v>
      </c>
      <c r="F22" s="4">
        <f>-0.05*F21</f>
        <v>-35.4</v>
      </c>
      <c r="H22" s="8" t="s">
        <v>37</v>
      </c>
      <c r="I22" s="4">
        <f>-0.05*I21</f>
        <v>-301.7</v>
      </c>
    </row>
    <row r="23" spans="2:15" ht="15.75" thickTop="1">
      <c r="B23" s="7" t="s">
        <v>38</v>
      </c>
      <c r="C23" s="3">
        <f>C21+C22</f>
        <v>28816.35</v>
      </c>
      <c r="E23" s="7" t="s">
        <v>38</v>
      </c>
      <c r="F23" s="3">
        <f>F21+F22</f>
        <v>672.6</v>
      </c>
      <c r="H23" s="7" t="s">
        <v>38</v>
      </c>
      <c r="I23" s="3">
        <f>I21+I22</f>
        <v>5732.3</v>
      </c>
    </row>
    <row r="26" spans="2:15">
      <c r="B26" s="11" t="s">
        <v>39</v>
      </c>
    </row>
    <row r="27" spans="2:15">
      <c r="B27" t="s">
        <v>40</v>
      </c>
    </row>
    <row r="28" spans="2:15" ht="42" customHeight="1">
      <c r="B28" s="10" t="s">
        <v>41</v>
      </c>
    </row>
    <row r="29" spans="2:15" ht="52.5" customHeight="1">
      <c r="B29" s="10" t="s">
        <v>42</v>
      </c>
    </row>
    <row r="30" spans="2:15" ht="81" customHeight="1">
      <c r="B30" s="9" t="s">
        <v>43</v>
      </c>
    </row>
    <row r="31" spans="2:15" ht="42" customHeight="1">
      <c r="B31" s="10" t="s">
        <v>44</v>
      </c>
    </row>
    <row r="32" spans="2:15" ht="125.25" customHeight="1">
      <c r="B32" s="10" t="s">
        <v>45</v>
      </c>
    </row>
    <row r="33" spans="2:2" ht="94.5">
      <c r="B33" s="10" t="s">
        <v>46</v>
      </c>
    </row>
  </sheetData>
  <mergeCells count="5">
    <mergeCell ref="B7:C7"/>
    <mergeCell ref="E7:F7"/>
    <mergeCell ref="H7:I7"/>
    <mergeCell ref="K7:O7"/>
    <mergeCell ref="K21:L21"/>
  </mergeCells>
  <phoneticPr fontId="3" type="noConversion"/>
  <pageMargins left="0.7" right="0.7" top="0.75" bottom="0.75" header="0.3" footer="0.3"/>
  <tableParts count="5">
    <tablePart r:id="rId1"/>
    <tablePart r:id="rId2"/>
    <tablePart r:id="rId3"/>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4E0D0-02D9-4A86-87FA-1FD270F4B7E3}">
  <dimension ref="C5:F27"/>
  <sheetViews>
    <sheetView topLeftCell="B4" workbookViewId="0">
      <selection activeCell="F32" sqref="F32"/>
    </sheetView>
  </sheetViews>
  <sheetFormatPr defaultRowHeight="15"/>
  <cols>
    <col min="3" max="3" width="15.85546875" customWidth="1"/>
    <col min="5" max="5" width="17.28515625" bestFit="1" customWidth="1"/>
    <col min="6" max="6" width="128.7109375" customWidth="1"/>
  </cols>
  <sheetData>
    <row r="5" spans="3:6">
      <c r="C5" s="46" t="s">
        <v>47</v>
      </c>
      <c r="D5" s="47"/>
      <c r="E5" s="47"/>
      <c r="F5" s="47"/>
    </row>
    <row r="6" spans="3:6">
      <c r="C6" s="31" t="s">
        <v>48</v>
      </c>
      <c r="D6" s="30" t="s">
        <v>49</v>
      </c>
      <c r="E6" s="30" t="s">
        <v>50</v>
      </c>
      <c r="F6" s="29" t="s">
        <v>51</v>
      </c>
    </row>
    <row r="7" spans="3:6">
      <c r="C7" s="28">
        <v>45691</v>
      </c>
      <c r="D7" s="27" t="s">
        <v>52</v>
      </c>
      <c r="E7" s="27" t="s">
        <v>53</v>
      </c>
      <c r="F7" s="26" t="s">
        <v>54</v>
      </c>
    </row>
    <row r="8" spans="3:6">
      <c r="C8" s="19">
        <v>45694</v>
      </c>
      <c r="D8" s="18" t="s">
        <v>52</v>
      </c>
      <c r="E8" s="18" t="s">
        <v>55</v>
      </c>
      <c r="F8" s="17" t="s">
        <v>56</v>
      </c>
    </row>
    <row r="9" spans="3:6" ht="27.75">
      <c r="C9" s="28">
        <v>45696</v>
      </c>
      <c r="D9" s="27" t="s">
        <v>52</v>
      </c>
      <c r="E9" s="27" t="s">
        <v>57</v>
      </c>
      <c r="F9" s="26" t="s">
        <v>58</v>
      </c>
    </row>
    <row r="10" spans="3:6">
      <c r="C10" s="19">
        <v>45698</v>
      </c>
      <c r="D10" s="18" t="s">
        <v>59</v>
      </c>
      <c r="E10" s="18" t="s">
        <v>60</v>
      </c>
      <c r="F10" s="17" t="s">
        <v>61</v>
      </c>
    </row>
    <row r="11" spans="3:6" ht="26.25" customHeight="1">
      <c r="C11" s="28">
        <v>45700</v>
      </c>
      <c r="D11" s="27" t="s">
        <v>52</v>
      </c>
      <c r="E11" s="27" t="s">
        <v>62</v>
      </c>
      <c r="F11" s="26" t="s">
        <v>63</v>
      </c>
    </row>
    <row r="12" spans="3:6" ht="24" customHeight="1">
      <c r="C12" s="19">
        <v>45702</v>
      </c>
      <c r="D12" s="18" t="s">
        <v>59</v>
      </c>
      <c r="E12" s="18" t="s">
        <v>64</v>
      </c>
      <c r="F12" s="17" t="s">
        <v>65</v>
      </c>
    </row>
    <row r="13" spans="3:6" ht="27.75">
      <c r="C13" s="28">
        <v>45705</v>
      </c>
      <c r="D13" s="27" t="s">
        <v>52</v>
      </c>
      <c r="E13" s="27" t="s">
        <v>66</v>
      </c>
      <c r="F13" s="26" t="s">
        <v>67</v>
      </c>
    </row>
    <row r="14" spans="3:6" ht="31.5" customHeight="1">
      <c r="C14" s="19">
        <v>45708</v>
      </c>
      <c r="D14" s="18" t="s">
        <v>59</v>
      </c>
      <c r="E14" s="18" t="s">
        <v>68</v>
      </c>
      <c r="F14" s="17" t="s">
        <v>69</v>
      </c>
    </row>
    <row r="15" spans="3:6" ht="27.75">
      <c r="C15" s="28">
        <v>45712</v>
      </c>
      <c r="D15" s="27" t="s">
        <v>52</v>
      </c>
      <c r="E15" s="27" t="s">
        <v>70</v>
      </c>
      <c r="F15" s="26" t="s">
        <v>71</v>
      </c>
    </row>
    <row r="16" spans="3:6" ht="32.25" customHeight="1">
      <c r="C16" s="19">
        <v>45712</v>
      </c>
      <c r="D16" s="18" t="s">
        <v>59</v>
      </c>
      <c r="E16" s="18" t="s">
        <v>72</v>
      </c>
      <c r="F16" s="17" t="s">
        <v>73</v>
      </c>
    </row>
    <row r="17" spans="3:6" ht="27.75">
      <c r="C17" s="28">
        <v>45717</v>
      </c>
      <c r="D17" s="27" t="s">
        <v>52</v>
      </c>
      <c r="E17" s="27" t="s">
        <v>74</v>
      </c>
      <c r="F17" s="26" t="s">
        <v>75</v>
      </c>
    </row>
    <row r="18" spans="3:6">
      <c r="C18" s="19">
        <v>45720</v>
      </c>
      <c r="D18" s="18" t="s">
        <v>59</v>
      </c>
      <c r="E18" s="18" t="s">
        <v>76</v>
      </c>
      <c r="F18" s="17" t="s">
        <v>77</v>
      </c>
    </row>
    <row r="19" spans="3:6">
      <c r="C19" s="28">
        <v>45723</v>
      </c>
      <c r="D19" s="27" t="s">
        <v>59</v>
      </c>
      <c r="E19" s="27" t="s">
        <v>78</v>
      </c>
      <c r="F19" s="26" t="s">
        <v>79</v>
      </c>
    </row>
    <row r="20" spans="3:6">
      <c r="C20" s="19">
        <v>45729</v>
      </c>
      <c r="D20" s="18" t="s">
        <v>52</v>
      </c>
      <c r="E20" s="18" t="s">
        <v>80</v>
      </c>
      <c r="F20" s="17" t="s">
        <v>81</v>
      </c>
    </row>
    <row r="21" spans="3:6">
      <c r="C21" s="25">
        <v>45729</v>
      </c>
      <c r="D21" s="24" t="s">
        <v>52</v>
      </c>
      <c r="E21" s="24" t="s">
        <v>82</v>
      </c>
      <c r="F21" s="23" t="s">
        <v>83</v>
      </c>
    </row>
    <row r="22" spans="3:6" ht="27.75">
      <c r="C22" s="22">
        <v>45731</v>
      </c>
      <c r="D22" s="21" t="s">
        <v>52</v>
      </c>
      <c r="E22" s="21" t="s">
        <v>84</v>
      </c>
      <c r="F22" s="20" t="s">
        <v>85</v>
      </c>
    </row>
    <row r="23" spans="3:6" ht="27.75">
      <c r="C23" s="19">
        <v>45734</v>
      </c>
      <c r="D23" s="18" t="s">
        <v>52</v>
      </c>
      <c r="E23" s="18" t="s">
        <v>86</v>
      </c>
      <c r="F23" s="17" t="s">
        <v>87</v>
      </c>
    </row>
    <row r="24" spans="3:6">
      <c r="C24" s="22">
        <v>45736</v>
      </c>
      <c r="D24" s="21" t="s">
        <v>59</v>
      </c>
      <c r="E24" s="21" t="s">
        <v>88</v>
      </c>
      <c r="F24" s="20" t="s">
        <v>89</v>
      </c>
    </row>
    <row r="25" spans="3:6" ht="27.75">
      <c r="C25" s="19">
        <v>45738</v>
      </c>
      <c r="D25" s="18" t="s">
        <v>52</v>
      </c>
      <c r="E25" s="18" t="s">
        <v>90</v>
      </c>
      <c r="F25" s="17" t="s">
        <v>91</v>
      </c>
    </row>
    <row r="26" spans="3:6">
      <c r="C26" s="16">
        <v>45741</v>
      </c>
      <c r="D26" s="15" t="s">
        <v>59</v>
      </c>
      <c r="E26" s="15" t="s">
        <v>92</v>
      </c>
      <c r="F26" s="15" t="s">
        <v>93</v>
      </c>
    </row>
    <row r="27" spans="3:6" s="10" customFormat="1">
      <c r="C27" s="14">
        <v>45744</v>
      </c>
      <c r="D27" s="10" t="s">
        <v>52</v>
      </c>
      <c r="E27" s="10" t="s">
        <v>94</v>
      </c>
      <c r="F27" s="10" t="s">
        <v>95</v>
      </c>
    </row>
  </sheetData>
  <mergeCells count="1">
    <mergeCell ref="C5:F5"/>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3B259-A657-433F-A300-6B9CF877E965}">
  <dimension ref="C4:I43"/>
  <sheetViews>
    <sheetView tabSelected="1" topLeftCell="B10" workbookViewId="0">
      <selection activeCell="B35" sqref="B35"/>
    </sheetView>
  </sheetViews>
  <sheetFormatPr defaultRowHeight="15"/>
  <cols>
    <col min="3" max="3" width="17.28515625" customWidth="1"/>
    <col min="4" max="4" width="20.85546875" customWidth="1"/>
    <col min="5" max="5" width="27.42578125" customWidth="1"/>
    <col min="6" max="6" width="19.28515625" customWidth="1"/>
    <col min="7" max="7" width="16.5703125" customWidth="1"/>
    <col min="8" max="8" width="21" customWidth="1"/>
    <col min="9" max="9" width="22.85546875" customWidth="1"/>
  </cols>
  <sheetData>
    <row r="4" spans="3:9">
      <c r="C4" s="46" t="s">
        <v>96</v>
      </c>
      <c r="D4" s="46"/>
      <c r="E4" s="46"/>
      <c r="G4" s="46" t="s">
        <v>97</v>
      </c>
      <c r="H4" s="46"/>
      <c r="I4" s="46"/>
    </row>
    <row r="5" spans="3:9">
      <c r="C5" t="s">
        <v>98</v>
      </c>
      <c r="D5" s="10" t="s">
        <v>99</v>
      </c>
      <c r="E5" s="10" t="s">
        <v>100</v>
      </c>
      <c r="G5" t="s">
        <v>98</v>
      </c>
      <c r="H5" t="s">
        <v>101</v>
      </c>
      <c r="I5" t="s">
        <v>102</v>
      </c>
    </row>
    <row r="6" spans="3:9">
      <c r="C6" s="34">
        <v>45292</v>
      </c>
      <c r="D6">
        <v>2217</v>
      </c>
      <c r="E6">
        <f>ROUNDUP(D6*0.05, 0)</f>
        <v>111</v>
      </c>
      <c r="G6" s="34">
        <v>45292</v>
      </c>
      <c r="H6">
        <f>ROUND(I6/0.07, 0)</f>
        <v>2386</v>
      </c>
      <c r="I6">
        <f>ROUND((E6/0.4)*0.6, 0)</f>
        <v>167</v>
      </c>
    </row>
    <row r="7" spans="3:9">
      <c r="C7" s="34">
        <v>45323</v>
      </c>
      <c r="D7">
        <v>2412</v>
      </c>
      <c r="E7">
        <f>ROUNDUP(D7*0.05, 0)</f>
        <v>121</v>
      </c>
      <c r="G7" s="34">
        <v>45323</v>
      </c>
      <c r="H7">
        <f>ROUND(I7/0.07, 0)</f>
        <v>2600</v>
      </c>
      <c r="I7">
        <f>ROUND((E7/0.4)*0.6, 0)</f>
        <v>182</v>
      </c>
    </row>
    <row r="8" spans="3:9">
      <c r="C8" s="34">
        <v>45352</v>
      </c>
      <c r="D8">
        <v>2782</v>
      </c>
      <c r="E8">
        <f>ROUNDUP(D8*0.05, 0)</f>
        <v>140</v>
      </c>
      <c r="G8" s="34">
        <v>45352</v>
      </c>
      <c r="H8">
        <f>ROUND(I8/0.07, 0)</f>
        <v>3000</v>
      </c>
      <c r="I8">
        <f>ROUND((E8/0.4)*0.6, 0)</f>
        <v>210</v>
      </c>
    </row>
    <row r="9" spans="3:9">
      <c r="C9" s="34">
        <v>45383</v>
      </c>
      <c r="D9">
        <v>2998</v>
      </c>
      <c r="E9">
        <f>ROUNDUP(D9*0.05, 0)</f>
        <v>150</v>
      </c>
      <c r="G9" s="34">
        <v>45383</v>
      </c>
      <c r="H9">
        <f>ROUND(I9/0.07, 0)</f>
        <v>3214</v>
      </c>
      <c r="I9">
        <f>ROUND((E9/0.4)*0.6, 0)</f>
        <v>225</v>
      </c>
    </row>
    <row r="10" spans="3:9">
      <c r="C10" s="34">
        <v>45413</v>
      </c>
      <c r="D10">
        <v>3231</v>
      </c>
      <c r="E10">
        <f>ROUNDUP(D10*0.05, 0)</f>
        <v>162</v>
      </c>
      <c r="G10" s="34">
        <v>45413</v>
      </c>
      <c r="H10">
        <f>ROUND(I10/0.07, 0)</f>
        <v>3471</v>
      </c>
      <c r="I10">
        <f>ROUND((E10/0.4)*0.6, 0)</f>
        <v>243</v>
      </c>
    </row>
    <row r="11" spans="3:9">
      <c r="C11" s="34">
        <v>45444</v>
      </c>
      <c r="D11">
        <v>2974</v>
      </c>
      <c r="E11">
        <f>ROUNDUP(D11*0.05, 0)</f>
        <v>149</v>
      </c>
      <c r="G11" s="34">
        <v>45444</v>
      </c>
      <c r="H11">
        <f>ROUND(I11/0.07, 0)</f>
        <v>3200</v>
      </c>
      <c r="I11">
        <f>ROUND((E11/0.4)*0.6, 0)</f>
        <v>224</v>
      </c>
    </row>
    <row r="12" spans="3:9">
      <c r="C12" s="34">
        <v>45474</v>
      </c>
      <c r="D12">
        <v>2610</v>
      </c>
      <c r="E12">
        <f>ROUNDUP(D12*0.05, 0)</f>
        <v>131</v>
      </c>
      <c r="G12" s="34">
        <v>45474</v>
      </c>
      <c r="H12">
        <f>ROUND(I12/0.07, 0)</f>
        <v>2814</v>
      </c>
      <c r="I12">
        <f>ROUND((E12/0.4)*0.6, 0)</f>
        <v>197</v>
      </c>
    </row>
    <row r="13" spans="3:9">
      <c r="C13" s="34">
        <v>45505</v>
      </c>
      <c r="D13">
        <v>2898</v>
      </c>
      <c r="E13">
        <f>ROUNDUP(D13*0.05, 0)</f>
        <v>145</v>
      </c>
      <c r="G13" s="34">
        <v>45505</v>
      </c>
      <c r="H13">
        <f>ROUND(I13/0.07, 0)</f>
        <v>3114</v>
      </c>
      <c r="I13">
        <f>ROUND((E13/0.4)*0.6, 0)</f>
        <v>218</v>
      </c>
    </row>
    <row r="14" spans="3:9">
      <c r="C14" s="34">
        <v>45536</v>
      </c>
      <c r="D14">
        <v>3024</v>
      </c>
      <c r="E14">
        <f>ROUNDUP(D14*0.05, 0)</f>
        <v>152</v>
      </c>
      <c r="G14" s="34">
        <v>45536</v>
      </c>
      <c r="H14">
        <f>ROUND(I14/0.07, 0)</f>
        <v>3257</v>
      </c>
      <c r="I14">
        <f>ROUND((E14/0.4)*0.6, 0)</f>
        <v>228</v>
      </c>
    </row>
    <row r="15" spans="3:9">
      <c r="C15" s="34">
        <v>45566</v>
      </c>
      <c r="D15">
        <v>3110</v>
      </c>
      <c r="E15">
        <f>ROUNDUP(D15*0.05, 0)</f>
        <v>156</v>
      </c>
      <c r="G15" s="34">
        <v>45566</v>
      </c>
      <c r="H15">
        <f>ROUND(I15/0.07, 0)</f>
        <v>3343</v>
      </c>
      <c r="I15">
        <f>ROUND((E15/0.4)*0.6, 0)</f>
        <v>234</v>
      </c>
    </row>
    <row r="16" spans="3:9">
      <c r="C16" s="34">
        <v>45597</v>
      </c>
      <c r="D16">
        <v>3289</v>
      </c>
      <c r="E16">
        <f>ROUNDUP(D16*0.05, 0)</f>
        <v>165</v>
      </c>
      <c r="G16" s="34">
        <v>45597</v>
      </c>
      <c r="H16">
        <f>ROUND(I16/0.07, 0)</f>
        <v>3543</v>
      </c>
      <c r="I16">
        <f>ROUND((E16/0.4)*0.6, 0)</f>
        <v>248</v>
      </c>
    </row>
    <row r="17" spans="3:9">
      <c r="C17" s="34">
        <v>45627</v>
      </c>
      <c r="D17">
        <v>3480</v>
      </c>
      <c r="E17">
        <v>167</v>
      </c>
      <c r="G17" s="34">
        <v>45627</v>
      </c>
      <c r="H17">
        <f>ROUND(I17/0.07, 0)</f>
        <v>3614</v>
      </c>
      <c r="I17">
        <v>253</v>
      </c>
    </row>
    <row r="18" spans="3:9">
      <c r="C18" s="34">
        <v>45658</v>
      </c>
      <c r="D18">
        <v>2878</v>
      </c>
      <c r="E18">
        <f>ROUNDUP(D18*0.05, 0)</f>
        <v>144</v>
      </c>
      <c r="G18" s="34">
        <v>45658</v>
      </c>
      <c r="H18">
        <f>ROUND(I18/0.07, 0)</f>
        <v>3086</v>
      </c>
      <c r="I18">
        <f>ROUND((E18/0.4)*0.6, 0)</f>
        <v>216</v>
      </c>
    </row>
    <row r="19" spans="3:9">
      <c r="C19" s="34">
        <v>45689</v>
      </c>
      <c r="D19">
        <v>2640</v>
      </c>
      <c r="E19">
        <f>ROUNDUP(D19*0.05, 0)</f>
        <v>132</v>
      </c>
      <c r="G19" s="34">
        <v>45689</v>
      </c>
      <c r="H19">
        <f>ROUND(I19/0.07, 0)</f>
        <v>2829</v>
      </c>
      <c r="I19">
        <f>ROUND((E19/0.4)*0.6, 0)</f>
        <v>198</v>
      </c>
    </row>
    <row r="20" spans="3:9">
      <c r="C20" s="34">
        <v>45717</v>
      </c>
      <c r="D20">
        <v>2977</v>
      </c>
      <c r="E20">
        <f>ROUNDUP(D20*0.05, 0)</f>
        <v>149</v>
      </c>
      <c r="G20" s="34">
        <v>45717</v>
      </c>
      <c r="H20">
        <f>ROUND(I20/0.07, 0)</f>
        <v>3200</v>
      </c>
      <c r="I20">
        <f>ROUND((E20/0.4)*0.6, 0)</f>
        <v>224</v>
      </c>
    </row>
    <row r="23" spans="3:9">
      <c r="C23" s="46" t="s">
        <v>103</v>
      </c>
      <c r="D23" s="46"/>
      <c r="E23" s="46"/>
    </row>
    <row r="24" spans="3:9">
      <c r="C24" s="1" t="s">
        <v>104</v>
      </c>
      <c r="D24" s="1" t="s">
        <v>99</v>
      </c>
      <c r="E24" s="1" t="s">
        <v>100</v>
      </c>
    </row>
    <row r="25" spans="3:9">
      <c r="C25" s="2" t="s">
        <v>105</v>
      </c>
      <c r="D25" s="2">
        <v>6</v>
      </c>
      <c r="E25" s="2">
        <f>ROUND(D25*0.05, 0)</f>
        <v>0</v>
      </c>
    </row>
    <row r="26" spans="3:9">
      <c r="C26" s="2" t="s">
        <v>106</v>
      </c>
      <c r="D26" s="2">
        <v>8</v>
      </c>
      <c r="E26" s="2">
        <f>ROUND(D26*0.05, 0)</f>
        <v>0</v>
      </c>
    </row>
    <row r="27" spans="3:9">
      <c r="C27" s="2" t="s">
        <v>107</v>
      </c>
      <c r="D27" s="2">
        <v>12</v>
      </c>
      <c r="E27" s="2">
        <f>ROUND(D27*0.05, 0)</f>
        <v>1</v>
      </c>
    </row>
    <row r="28" spans="3:9">
      <c r="C28" s="2" t="s">
        <v>108</v>
      </c>
      <c r="D28" s="2">
        <v>18</v>
      </c>
      <c r="E28" s="2">
        <f>ROUND(D28*0.05, 0)</f>
        <v>1</v>
      </c>
    </row>
    <row r="29" spans="3:9">
      <c r="C29" s="2" t="s">
        <v>109</v>
      </c>
      <c r="D29" s="2">
        <v>22</v>
      </c>
      <c r="E29" s="2">
        <f>ROUND(D29*0.05, 0)</f>
        <v>1</v>
      </c>
    </row>
    <row r="30" spans="3:9">
      <c r="C30" s="2" t="s">
        <v>110</v>
      </c>
      <c r="D30" s="2">
        <v>34</v>
      </c>
      <c r="E30" s="2">
        <f>ROUND(D30*0.05, 0)</f>
        <v>2</v>
      </c>
    </row>
    <row r="31" spans="3:9">
      <c r="C31" s="2" t="s">
        <v>111</v>
      </c>
      <c r="D31" s="2">
        <v>21</v>
      </c>
      <c r="E31" s="2">
        <f>ROUND(D31*0.05, 0)</f>
        <v>1</v>
      </c>
    </row>
    <row r="40" spans="4:4">
      <c r="D40" s="33"/>
    </row>
    <row r="41" spans="4:4">
      <c r="D41" s="32"/>
    </row>
    <row r="42" spans="4:4">
      <c r="D42" s="32"/>
    </row>
    <row r="43" spans="4:4">
      <c r="D43" s="32"/>
    </row>
  </sheetData>
  <mergeCells count="3">
    <mergeCell ref="C4:E4"/>
    <mergeCell ref="G4:I4"/>
    <mergeCell ref="C23:E23"/>
  </mergeCells>
  <pageMargins left="0.7" right="0.7" top="0.75" bottom="0.75" header="0.3" footer="0.3"/>
  <tableParts count="3">
    <tablePart r:id="rId1"/>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26D15-2F90-8743-A171-6D9ABBA3E92E}">
  <dimension ref="A1:T30"/>
  <sheetViews>
    <sheetView zoomScaleNormal="150" zoomScaleSheetLayoutView="100" workbookViewId="0">
      <selection activeCell="D46" sqref="D46"/>
    </sheetView>
  </sheetViews>
  <sheetFormatPr defaultRowHeight="15"/>
  <cols>
    <col min="1" max="1" width="34.42578125" bestFit="1" customWidth="1"/>
    <col min="2" max="2" width="16.42578125" bestFit="1" customWidth="1"/>
    <col min="3" max="3" width="16.85546875" bestFit="1" customWidth="1"/>
    <col min="4" max="4" width="17.140625" bestFit="1" customWidth="1"/>
    <col min="6" max="6" width="14" bestFit="1" customWidth="1"/>
    <col min="7" max="7" width="11.28515625" customWidth="1"/>
    <col min="8" max="8" width="11.28515625" bestFit="1" customWidth="1"/>
    <col min="9" max="9" width="17.7109375" customWidth="1"/>
    <col min="10" max="10" width="26.42578125" customWidth="1"/>
    <col min="11" max="11" width="12.140625" bestFit="1" customWidth="1"/>
    <col min="12" max="12" width="13.28515625" customWidth="1"/>
    <col min="13" max="13" width="14" bestFit="1" customWidth="1"/>
    <col min="15" max="15" width="11.28515625" bestFit="1" customWidth="1"/>
    <col min="16" max="16" width="19.85546875" bestFit="1" customWidth="1"/>
    <col min="17" max="17" width="14.7109375" customWidth="1"/>
    <col min="18" max="18" width="22" customWidth="1"/>
    <col min="20" max="20" width="12" customWidth="1"/>
  </cols>
  <sheetData>
    <row r="1" spans="1:20" ht="15" customHeight="1"/>
    <row r="2" spans="1:20" ht="21" customHeight="1">
      <c r="A2" s="48" t="s">
        <v>112</v>
      </c>
      <c r="B2" s="48"/>
      <c r="C2" s="48"/>
      <c r="D2" s="48"/>
      <c r="F2" s="48" t="s">
        <v>113</v>
      </c>
      <c r="G2" s="48"/>
      <c r="H2" s="48"/>
      <c r="I2" s="48"/>
      <c r="J2" s="48"/>
      <c r="K2" s="48"/>
      <c r="L2" s="48"/>
      <c r="N2" s="48" t="s">
        <v>114</v>
      </c>
      <c r="O2" s="48"/>
      <c r="P2" s="48"/>
      <c r="Q2" s="48"/>
      <c r="R2" s="48"/>
      <c r="S2" s="48"/>
      <c r="T2" s="48"/>
    </row>
    <row r="3" spans="1:20" ht="31.5" customHeight="1">
      <c r="A3" s="37" t="s">
        <v>115</v>
      </c>
      <c r="B3" s="38" t="s">
        <v>116</v>
      </c>
      <c r="C3" s="38" t="s">
        <v>117</v>
      </c>
      <c r="D3" s="39" t="s">
        <v>118</v>
      </c>
      <c r="F3" s="37" t="s">
        <v>119</v>
      </c>
      <c r="G3" s="38" t="s">
        <v>120</v>
      </c>
      <c r="H3" s="38" t="s">
        <v>121</v>
      </c>
      <c r="I3" s="38" t="s">
        <v>122</v>
      </c>
      <c r="J3" s="38" t="s">
        <v>123</v>
      </c>
      <c r="K3" s="38" t="s">
        <v>124</v>
      </c>
      <c r="L3" s="39" t="s">
        <v>125</v>
      </c>
      <c r="N3" s="37" t="s">
        <v>119</v>
      </c>
      <c r="O3" s="38" t="s">
        <v>120</v>
      </c>
      <c r="P3" s="38" t="s">
        <v>121</v>
      </c>
      <c r="Q3" s="38" t="s">
        <v>122</v>
      </c>
      <c r="R3" s="38" t="s">
        <v>123</v>
      </c>
      <c r="S3" s="38" t="s">
        <v>124</v>
      </c>
      <c r="T3" s="39" t="s">
        <v>125</v>
      </c>
    </row>
    <row r="4" spans="1:20" ht="18" customHeight="1">
      <c r="A4" s="40" t="s">
        <v>126</v>
      </c>
      <c r="B4" s="27">
        <v>35</v>
      </c>
      <c r="C4" s="27">
        <v>28</v>
      </c>
      <c r="D4" s="26">
        <v>35</v>
      </c>
      <c r="F4" s="40" t="s">
        <v>127</v>
      </c>
      <c r="G4" s="27" t="s">
        <v>128</v>
      </c>
      <c r="H4" s="27" t="s">
        <v>129</v>
      </c>
      <c r="I4" s="27" t="s">
        <v>130</v>
      </c>
      <c r="J4" s="27" t="s">
        <v>131</v>
      </c>
      <c r="K4" s="41">
        <v>35</v>
      </c>
      <c r="L4" s="26" t="s">
        <v>132</v>
      </c>
      <c r="N4" s="40" t="s">
        <v>127</v>
      </c>
      <c r="O4" s="27" t="s">
        <v>128</v>
      </c>
      <c r="P4" s="27" t="s">
        <v>129</v>
      </c>
      <c r="Q4" s="27" t="s">
        <v>130</v>
      </c>
      <c r="R4" s="27" t="s">
        <v>131</v>
      </c>
      <c r="S4" s="41">
        <v>50</v>
      </c>
      <c r="T4" s="26" t="s">
        <v>133</v>
      </c>
    </row>
    <row r="5" spans="1:20" ht="18" customHeight="1">
      <c r="A5" s="42" t="s">
        <v>134</v>
      </c>
      <c r="B5" s="18">
        <v>30</v>
      </c>
      <c r="C5" s="18">
        <v>30</v>
      </c>
      <c r="D5" s="17">
        <v>30</v>
      </c>
      <c r="F5" s="42" t="s">
        <v>127</v>
      </c>
      <c r="G5" s="18" t="s">
        <v>135</v>
      </c>
      <c r="H5" s="18" t="s">
        <v>136</v>
      </c>
      <c r="I5" s="18" t="s">
        <v>137</v>
      </c>
      <c r="J5" s="18" t="s">
        <v>138</v>
      </c>
      <c r="K5" s="43">
        <v>55</v>
      </c>
      <c r="L5" s="17" t="s">
        <v>139</v>
      </c>
      <c r="N5" s="42" t="s">
        <v>127</v>
      </c>
      <c r="O5" s="18" t="s">
        <v>135</v>
      </c>
      <c r="P5" s="18" t="s">
        <v>140</v>
      </c>
      <c r="Q5" s="18" t="s">
        <v>137</v>
      </c>
      <c r="R5" s="18" t="s">
        <v>131</v>
      </c>
      <c r="S5" s="43">
        <v>65</v>
      </c>
      <c r="T5" s="17" t="s">
        <v>141</v>
      </c>
    </row>
    <row r="6" spans="1:20" ht="18" customHeight="1">
      <c r="A6" s="40" t="s">
        <v>142</v>
      </c>
      <c r="B6" s="27">
        <v>30</v>
      </c>
      <c r="C6" s="27">
        <v>17</v>
      </c>
      <c r="D6" s="26">
        <v>23</v>
      </c>
      <c r="F6" s="40" t="s">
        <v>127</v>
      </c>
      <c r="G6" s="27" t="s">
        <v>128</v>
      </c>
      <c r="H6" s="27" t="s">
        <v>143</v>
      </c>
      <c r="I6" s="27" t="s">
        <v>144</v>
      </c>
      <c r="J6" s="27" t="s">
        <v>131</v>
      </c>
      <c r="K6" s="41">
        <v>60</v>
      </c>
      <c r="L6" s="26" t="s">
        <v>145</v>
      </c>
      <c r="N6" s="40" t="s">
        <v>127</v>
      </c>
      <c r="O6" s="27" t="s">
        <v>135</v>
      </c>
      <c r="P6" s="27" t="s">
        <v>129</v>
      </c>
      <c r="Q6" s="27" t="s">
        <v>137</v>
      </c>
      <c r="R6" s="27" t="s">
        <v>138</v>
      </c>
      <c r="S6" s="41">
        <v>75</v>
      </c>
      <c r="T6" s="26" t="s">
        <v>146</v>
      </c>
    </row>
    <row r="7" spans="1:20" ht="18" customHeight="1">
      <c r="A7" s="42" t="s">
        <v>147</v>
      </c>
      <c r="B7" s="18">
        <v>30</v>
      </c>
      <c r="C7" s="18">
        <v>14</v>
      </c>
      <c r="D7" s="17">
        <v>22</v>
      </c>
      <c r="F7" s="42" t="s">
        <v>127</v>
      </c>
      <c r="G7" s="18" t="s">
        <v>128</v>
      </c>
      <c r="H7" s="18" t="s">
        <v>129</v>
      </c>
      <c r="I7" s="18" t="s">
        <v>137</v>
      </c>
      <c r="J7" s="18" t="s">
        <v>131</v>
      </c>
      <c r="K7" s="43">
        <v>70</v>
      </c>
      <c r="L7" s="17" t="s">
        <v>141</v>
      </c>
      <c r="N7" s="42" t="s">
        <v>127</v>
      </c>
      <c r="O7" s="18" t="s">
        <v>128</v>
      </c>
      <c r="P7" s="18" t="s">
        <v>143</v>
      </c>
      <c r="Q7" s="18" t="s">
        <v>144</v>
      </c>
      <c r="R7" s="18" t="s">
        <v>131</v>
      </c>
      <c r="S7" s="43">
        <v>95</v>
      </c>
      <c r="T7" s="17" t="s">
        <v>148</v>
      </c>
    </row>
    <row r="8" spans="1:20" ht="18" customHeight="1">
      <c r="A8" s="40" t="s">
        <v>149</v>
      </c>
      <c r="B8" s="27">
        <v>30</v>
      </c>
      <c r="C8" s="27">
        <v>23</v>
      </c>
      <c r="D8" s="26">
        <v>29</v>
      </c>
      <c r="F8" s="40" t="s">
        <v>127</v>
      </c>
      <c r="G8" s="27" t="s">
        <v>150</v>
      </c>
      <c r="H8" s="27" t="s">
        <v>140</v>
      </c>
      <c r="I8" s="27" t="s">
        <v>151</v>
      </c>
      <c r="J8" s="27" t="s">
        <v>131</v>
      </c>
      <c r="K8" s="41">
        <v>75</v>
      </c>
      <c r="L8" s="26" t="s">
        <v>152</v>
      </c>
      <c r="N8" s="40" t="s">
        <v>127</v>
      </c>
      <c r="O8" s="27" t="s">
        <v>135</v>
      </c>
      <c r="P8" s="27" t="s">
        <v>140</v>
      </c>
      <c r="Q8" s="27" t="s">
        <v>151</v>
      </c>
      <c r="R8" s="27" t="s">
        <v>138</v>
      </c>
      <c r="S8" s="41">
        <v>130</v>
      </c>
      <c r="T8" s="26" t="s">
        <v>153</v>
      </c>
    </row>
    <row r="9" spans="1:20" ht="18" customHeight="1">
      <c r="A9" s="42" t="s">
        <v>154</v>
      </c>
      <c r="B9" s="18">
        <v>30</v>
      </c>
      <c r="C9" s="18">
        <v>28</v>
      </c>
      <c r="D9" s="17">
        <v>30</v>
      </c>
      <c r="F9" s="42" t="s">
        <v>155</v>
      </c>
      <c r="G9" s="18" t="s">
        <v>144</v>
      </c>
      <c r="H9" s="18" t="s">
        <v>140</v>
      </c>
      <c r="I9" s="18" t="s">
        <v>130</v>
      </c>
      <c r="J9" s="18" t="s">
        <v>156</v>
      </c>
      <c r="K9" s="43">
        <v>50</v>
      </c>
      <c r="L9" s="17" t="s">
        <v>157</v>
      </c>
      <c r="N9" s="42" t="s">
        <v>155</v>
      </c>
      <c r="O9" s="18" t="s">
        <v>128</v>
      </c>
      <c r="P9" s="18" t="s">
        <v>129</v>
      </c>
      <c r="Q9" s="18" t="s">
        <v>130</v>
      </c>
      <c r="R9" s="18" t="s">
        <v>131</v>
      </c>
      <c r="S9" s="43">
        <v>55</v>
      </c>
      <c r="T9" s="17" t="s">
        <v>158</v>
      </c>
    </row>
    <row r="10" spans="1:20" ht="18" customHeight="1">
      <c r="A10" s="40" t="s">
        <v>159</v>
      </c>
      <c r="B10" s="27">
        <v>25</v>
      </c>
      <c r="C10" s="27">
        <v>16</v>
      </c>
      <c r="D10" s="26">
        <v>20</v>
      </c>
      <c r="F10" s="40" t="s">
        <v>155</v>
      </c>
      <c r="G10" s="27" t="s">
        <v>128</v>
      </c>
      <c r="H10" s="27" t="s">
        <v>136</v>
      </c>
      <c r="I10" s="27" t="s">
        <v>137</v>
      </c>
      <c r="J10" s="27" t="s">
        <v>160</v>
      </c>
      <c r="K10" s="41">
        <v>55</v>
      </c>
      <c r="L10" s="26" t="s">
        <v>161</v>
      </c>
      <c r="N10" s="40" t="s">
        <v>155</v>
      </c>
      <c r="O10" s="27" t="s">
        <v>135</v>
      </c>
      <c r="P10" s="27" t="s">
        <v>129</v>
      </c>
      <c r="Q10" s="27" t="s">
        <v>144</v>
      </c>
      <c r="R10" s="27" t="s">
        <v>138</v>
      </c>
      <c r="S10" s="41">
        <v>60</v>
      </c>
      <c r="T10" s="26" t="s">
        <v>162</v>
      </c>
    </row>
    <row r="11" spans="1:20" ht="18" customHeight="1">
      <c r="A11" s="42" t="s">
        <v>163</v>
      </c>
      <c r="B11" s="18">
        <v>25</v>
      </c>
      <c r="C11" s="18">
        <v>22</v>
      </c>
      <c r="D11" s="17">
        <v>25</v>
      </c>
      <c r="F11" s="42" t="s">
        <v>155</v>
      </c>
      <c r="G11" s="18" t="s">
        <v>128</v>
      </c>
      <c r="H11" s="18" t="s">
        <v>129</v>
      </c>
      <c r="I11" s="18" t="s">
        <v>130</v>
      </c>
      <c r="J11" s="18" t="s">
        <v>131</v>
      </c>
      <c r="K11" s="43">
        <v>55</v>
      </c>
      <c r="L11" s="17" t="s">
        <v>162</v>
      </c>
      <c r="N11" s="42" t="s">
        <v>155</v>
      </c>
      <c r="O11" s="18" t="s">
        <v>128</v>
      </c>
      <c r="P11" s="18" t="s">
        <v>136</v>
      </c>
      <c r="Q11" s="18" t="s">
        <v>144</v>
      </c>
      <c r="R11" s="18" t="s">
        <v>138</v>
      </c>
      <c r="S11" s="43">
        <v>85</v>
      </c>
      <c r="T11" s="17" t="s">
        <v>164</v>
      </c>
    </row>
    <row r="12" spans="1:20" ht="18" customHeight="1">
      <c r="A12" s="40" t="s">
        <v>165</v>
      </c>
      <c r="B12" s="27">
        <v>25</v>
      </c>
      <c r="C12" s="27">
        <v>19</v>
      </c>
      <c r="D12" s="26">
        <v>24</v>
      </c>
      <c r="F12" s="40" t="s">
        <v>155</v>
      </c>
      <c r="G12" s="27" t="s">
        <v>128</v>
      </c>
      <c r="H12" s="27" t="s">
        <v>129</v>
      </c>
      <c r="I12" s="27" t="s">
        <v>130</v>
      </c>
      <c r="J12" s="27" t="s">
        <v>160</v>
      </c>
      <c r="K12" s="41">
        <v>55</v>
      </c>
      <c r="L12" s="26" t="s">
        <v>166</v>
      </c>
      <c r="N12" s="40" t="s">
        <v>155</v>
      </c>
      <c r="O12" s="27" t="s">
        <v>135</v>
      </c>
      <c r="P12" s="27" t="s">
        <v>129</v>
      </c>
      <c r="Q12" s="27" t="s">
        <v>130</v>
      </c>
      <c r="R12" s="27" t="s">
        <v>138</v>
      </c>
      <c r="S12" s="41">
        <v>90</v>
      </c>
      <c r="T12" s="26" t="s">
        <v>167</v>
      </c>
    </row>
    <row r="13" spans="1:20" ht="18" customHeight="1">
      <c r="A13" s="42" t="s">
        <v>168</v>
      </c>
      <c r="B13" s="18">
        <v>25</v>
      </c>
      <c r="C13" s="18">
        <v>17</v>
      </c>
      <c r="D13" s="17">
        <v>23</v>
      </c>
      <c r="F13" s="42" t="s">
        <v>155</v>
      </c>
      <c r="G13" s="18" t="s">
        <v>128</v>
      </c>
      <c r="H13" s="18" t="s">
        <v>129</v>
      </c>
      <c r="I13" s="18" t="s">
        <v>144</v>
      </c>
      <c r="J13" s="18" t="s">
        <v>131</v>
      </c>
      <c r="K13" s="43">
        <v>60</v>
      </c>
      <c r="L13" s="17" t="s">
        <v>169</v>
      </c>
      <c r="N13" s="42" t="s">
        <v>155</v>
      </c>
      <c r="O13" s="18" t="s">
        <v>135</v>
      </c>
      <c r="P13" s="18" t="s">
        <v>140</v>
      </c>
      <c r="Q13" s="18" t="s">
        <v>137</v>
      </c>
      <c r="R13" s="18" t="s">
        <v>160</v>
      </c>
      <c r="S13" s="43">
        <v>90</v>
      </c>
      <c r="T13" s="17" t="s">
        <v>170</v>
      </c>
    </row>
    <row r="14" spans="1:20" ht="18" customHeight="1">
      <c r="A14" s="40" t="s">
        <v>171</v>
      </c>
      <c r="B14" s="27">
        <v>25</v>
      </c>
      <c r="C14" s="27">
        <v>17</v>
      </c>
      <c r="D14" s="26">
        <v>23</v>
      </c>
      <c r="F14" s="40" t="s">
        <v>155</v>
      </c>
      <c r="G14" s="27" t="s">
        <v>128</v>
      </c>
      <c r="H14" s="27" t="s">
        <v>129</v>
      </c>
      <c r="I14" s="27" t="s">
        <v>151</v>
      </c>
      <c r="J14" s="27" t="s">
        <v>138</v>
      </c>
      <c r="K14" s="41">
        <v>70</v>
      </c>
      <c r="L14" s="26" t="s">
        <v>172</v>
      </c>
      <c r="N14" s="40" t="s">
        <v>155</v>
      </c>
      <c r="O14" s="27" t="s">
        <v>128</v>
      </c>
      <c r="P14" s="27" t="s">
        <v>129</v>
      </c>
      <c r="Q14" s="27" t="s">
        <v>151</v>
      </c>
      <c r="R14" s="27" t="s">
        <v>138</v>
      </c>
      <c r="S14" s="41">
        <v>110</v>
      </c>
      <c r="T14" s="26" t="s">
        <v>172</v>
      </c>
    </row>
    <row r="15" spans="1:20" ht="18" customHeight="1">
      <c r="A15" s="42" t="s">
        <v>173</v>
      </c>
      <c r="B15" s="18">
        <v>25</v>
      </c>
      <c r="C15" s="18">
        <v>18</v>
      </c>
      <c r="D15" s="17">
        <v>25</v>
      </c>
      <c r="F15" s="42" t="s">
        <v>155</v>
      </c>
      <c r="G15" s="18" t="s">
        <v>135</v>
      </c>
      <c r="H15" s="18" t="s">
        <v>140</v>
      </c>
      <c r="I15" s="18" t="s">
        <v>137</v>
      </c>
      <c r="J15" s="18" t="s">
        <v>160</v>
      </c>
      <c r="K15" s="43">
        <v>75</v>
      </c>
      <c r="L15" s="17" t="s">
        <v>170</v>
      </c>
      <c r="N15" s="42" t="s">
        <v>155</v>
      </c>
      <c r="O15" s="18" t="s">
        <v>144</v>
      </c>
      <c r="P15" s="18" t="s">
        <v>174</v>
      </c>
      <c r="Q15" s="18" t="s">
        <v>151</v>
      </c>
      <c r="R15" s="18" t="s">
        <v>138</v>
      </c>
      <c r="S15" s="43">
        <v>120</v>
      </c>
      <c r="T15" s="17" t="s">
        <v>170</v>
      </c>
    </row>
    <row r="16" spans="1:20" ht="18" customHeight="1">
      <c r="A16" s="40" t="s">
        <v>175</v>
      </c>
      <c r="B16" s="27">
        <v>20</v>
      </c>
      <c r="C16" s="27">
        <v>15</v>
      </c>
      <c r="D16" s="26">
        <v>19</v>
      </c>
      <c r="F16" s="40" t="s">
        <v>155</v>
      </c>
      <c r="G16" s="27" t="s">
        <v>128</v>
      </c>
      <c r="H16" s="27" t="s">
        <v>143</v>
      </c>
      <c r="I16" s="27" t="s">
        <v>144</v>
      </c>
      <c r="J16" s="27" t="s">
        <v>156</v>
      </c>
      <c r="K16" s="41">
        <v>95</v>
      </c>
      <c r="L16" s="26" t="s">
        <v>176</v>
      </c>
      <c r="N16" s="40" t="s">
        <v>155</v>
      </c>
      <c r="O16" s="27" t="s">
        <v>135</v>
      </c>
      <c r="P16" s="27" t="s">
        <v>140</v>
      </c>
      <c r="Q16" s="27" t="s">
        <v>137</v>
      </c>
      <c r="R16" s="27" t="s">
        <v>131</v>
      </c>
      <c r="S16" s="41">
        <v>135</v>
      </c>
      <c r="T16" s="26" t="s">
        <v>177</v>
      </c>
    </row>
    <row r="17" spans="1:20" ht="18" customHeight="1">
      <c r="A17" s="42" t="s">
        <v>178</v>
      </c>
      <c r="B17" s="18">
        <v>20</v>
      </c>
      <c r="C17" s="18">
        <v>12</v>
      </c>
      <c r="D17" s="17">
        <v>17</v>
      </c>
      <c r="F17" s="42" t="s">
        <v>155</v>
      </c>
      <c r="G17" s="18" t="s">
        <v>150</v>
      </c>
      <c r="H17" s="18" t="s">
        <v>136</v>
      </c>
      <c r="I17" s="18" t="s">
        <v>130</v>
      </c>
      <c r="J17" s="18" t="s">
        <v>156</v>
      </c>
      <c r="K17" s="43">
        <v>95</v>
      </c>
      <c r="L17" s="17" t="s">
        <v>170</v>
      </c>
      <c r="N17" s="42" t="s">
        <v>155</v>
      </c>
      <c r="O17" s="18" t="s">
        <v>128</v>
      </c>
      <c r="P17" s="18" t="s">
        <v>143</v>
      </c>
      <c r="Q17" s="18" t="s">
        <v>144</v>
      </c>
      <c r="R17" s="18" t="s">
        <v>131</v>
      </c>
      <c r="S17" s="43">
        <v>140</v>
      </c>
      <c r="T17" s="17" t="s">
        <v>179</v>
      </c>
    </row>
    <row r="18" spans="1:20" ht="18" customHeight="1">
      <c r="A18" s="40" t="s">
        <v>180</v>
      </c>
      <c r="B18" s="27">
        <v>20</v>
      </c>
      <c r="C18" s="27">
        <v>16</v>
      </c>
      <c r="D18" s="26">
        <v>20</v>
      </c>
      <c r="F18" s="40" t="s">
        <v>155</v>
      </c>
      <c r="G18" s="27" t="s">
        <v>144</v>
      </c>
      <c r="H18" s="27" t="s">
        <v>174</v>
      </c>
      <c r="I18" s="27" t="s">
        <v>151</v>
      </c>
      <c r="J18" s="27" t="s">
        <v>138</v>
      </c>
      <c r="K18" s="41">
        <v>95</v>
      </c>
      <c r="L18" s="26" t="s">
        <v>170</v>
      </c>
      <c r="N18" s="40" t="s">
        <v>181</v>
      </c>
      <c r="O18" s="27" t="s">
        <v>128</v>
      </c>
      <c r="P18" s="27" t="s">
        <v>129</v>
      </c>
      <c r="Q18" s="27" t="s">
        <v>151</v>
      </c>
      <c r="R18" s="27" t="s">
        <v>131</v>
      </c>
      <c r="S18" s="41">
        <v>80</v>
      </c>
      <c r="T18" s="26" t="s">
        <v>145</v>
      </c>
    </row>
    <row r="19" spans="1:20" ht="18" customHeight="1">
      <c r="A19" s="42" t="s">
        <v>182</v>
      </c>
      <c r="B19" s="18">
        <v>20</v>
      </c>
      <c r="C19" s="18">
        <v>12</v>
      </c>
      <c r="D19" s="17">
        <v>17</v>
      </c>
      <c r="F19" s="42" t="s">
        <v>181</v>
      </c>
      <c r="G19" s="18" t="s">
        <v>135</v>
      </c>
      <c r="H19" s="18" t="s">
        <v>129</v>
      </c>
      <c r="I19" s="18" t="s">
        <v>137</v>
      </c>
      <c r="J19" s="18" t="s">
        <v>131</v>
      </c>
      <c r="K19" s="43">
        <v>50</v>
      </c>
      <c r="L19" s="17" t="s">
        <v>141</v>
      </c>
      <c r="N19" s="42" t="s">
        <v>181</v>
      </c>
      <c r="O19" s="18" t="s">
        <v>128</v>
      </c>
      <c r="P19" s="18" t="s">
        <v>129</v>
      </c>
      <c r="Q19" s="18" t="s">
        <v>130</v>
      </c>
      <c r="R19" s="18" t="s">
        <v>131</v>
      </c>
      <c r="S19" s="43">
        <v>85</v>
      </c>
      <c r="T19" s="17" t="s">
        <v>166</v>
      </c>
    </row>
    <row r="20" spans="1:20" ht="18" customHeight="1">
      <c r="A20" s="40" t="s">
        <v>183</v>
      </c>
      <c r="B20" s="27">
        <v>15</v>
      </c>
      <c r="C20" s="27">
        <v>7</v>
      </c>
      <c r="D20" s="26">
        <v>12</v>
      </c>
      <c r="F20" s="40" t="s">
        <v>181</v>
      </c>
      <c r="G20" s="27" t="s">
        <v>150</v>
      </c>
      <c r="H20" s="27" t="s">
        <v>184</v>
      </c>
      <c r="I20" s="27" t="s">
        <v>151</v>
      </c>
      <c r="J20" s="27" t="s">
        <v>160</v>
      </c>
      <c r="K20" s="41">
        <v>60</v>
      </c>
      <c r="L20" s="26" t="s">
        <v>185</v>
      </c>
      <c r="N20" s="40" t="s">
        <v>181</v>
      </c>
      <c r="O20" s="27" t="s">
        <v>135</v>
      </c>
      <c r="P20" s="27" t="s">
        <v>129</v>
      </c>
      <c r="Q20" s="27" t="s">
        <v>137</v>
      </c>
      <c r="R20" s="27" t="s">
        <v>131</v>
      </c>
      <c r="S20" s="41">
        <v>100</v>
      </c>
      <c r="T20" s="26" t="s">
        <v>164</v>
      </c>
    </row>
    <row r="21" spans="1:20" ht="18" customHeight="1">
      <c r="A21" s="42" t="s">
        <v>186</v>
      </c>
      <c r="B21" s="18">
        <v>15</v>
      </c>
      <c r="C21" s="18">
        <v>8</v>
      </c>
      <c r="D21" s="17">
        <v>13</v>
      </c>
      <c r="F21" s="42" t="s">
        <v>181</v>
      </c>
      <c r="G21" s="18" t="s">
        <v>135</v>
      </c>
      <c r="H21" s="18" t="s">
        <v>129</v>
      </c>
      <c r="I21" s="18" t="s">
        <v>130</v>
      </c>
      <c r="J21" s="18" t="s">
        <v>138</v>
      </c>
      <c r="K21" s="43">
        <v>60</v>
      </c>
      <c r="L21" s="17" t="s">
        <v>187</v>
      </c>
      <c r="N21" s="42" t="s">
        <v>181</v>
      </c>
      <c r="O21" s="18" t="s">
        <v>135</v>
      </c>
      <c r="P21" s="18" t="s">
        <v>188</v>
      </c>
      <c r="Q21" s="18" t="s">
        <v>130</v>
      </c>
      <c r="R21" s="18" t="s">
        <v>131</v>
      </c>
      <c r="S21" s="43">
        <v>110</v>
      </c>
      <c r="T21" s="17" t="s">
        <v>161</v>
      </c>
    </row>
    <row r="22" spans="1:20" ht="18" customHeight="1">
      <c r="A22" s="40" t="s">
        <v>189</v>
      </c>
      <c r="B22" s="27">
        <v>10</v>
      </c>
      <c r="C22" s="27">
        <v>8</v>
      </c>
      <c r="D22" s="26">
        <v>10</v>
      </c>
      <c r="F22" s="40" t="s">
        <v>181</v>
      </c>
      <c r="G22" s="27" t="s">
        <v>135</v>
      </c>
      <c r="H22" s="27" t="s">
        <v>136</v>
      </c>
      <c r="I22" s="27" t="s">
        <v>151</v>
      </c>
      <c r="J22" s="27" t="s">
        <v>138</v>
      </c>
      <c r="K22" s="41">
        <v>70</v>
      </c>
      <c r="L22" s="26" t="s">
        <v>170</v>
      </c>
      <c r="N22" s="40" t="s">
        <v>181</v>
      </c>
      <c r="O22" s="27" t="s">
        <v>150</v>
      </c>
      <c r="P22" s="27" t="s">
        <v>129</v>
      </c>
      <c r="Q22" s="27" t="s">
        <v>130</v>
      </c>
      <c r="R22" s="27" t="s">
        <v>131</v>
      </c>
      <c r="S22" s="41">
        <v>115</v>
      </c>
      <c r="T22" s="26" t="s">
        <v>190</v>
      </c>
    </row>
    <row r="23" spans="1:20" ht="18" customHeight="1">
      <c r="A23" s="42" t="s">
        <v>191</v>
      </c>
      <c r="B23" s="18">
        <v>5</v>
      </c>
      <c r="C23" s="18">
        <v>3</v>
      </c>
      <c r="D23" s="17">
        <v>3</v>
      </c>
      <c r="F23" s="42" t="s">
        <v>181</v>
      </c>
      <c r="G23" s="18" t="s">
        <v>150</v>
      </c>
      <c r="H23" s="18" t="s">
        <v>143</v>
      </c>
      <c r="I23" s="18" t="s">
        <v>144</v>
      </c>
      <c r="J23" s="18" t="s">
        <v>156</v>
      </c>
      <c r="K23" s="43">
        <v>75</v>
      </c>
      <c r="L23" s="17" t="s">
        <v>170</v>
      </c>
      <c r="N23" s="42" t="s">
        <v>181</v>
      </c>
      <c r="O23" s="18" t="s">
        <v>135</v>
      </c>
      <c r="P23" s="18" t="s">
        <v>140</v>
      </c>
      <c r="Q23" s="18" t="s">
        <v>130</v>
      </c>
      <c r="R23" s="18" t="s">
        <v>138</v>
      </c>
      <c r="S23" s="43">
        <v>120</v>
      </c>
      <c r="T23" s="17" t="s">
        <v>192</v>
      </c>
    </row>
    <row r="24" spans="1:20" ht="18" customHeight="1">
      <c r="A24" s="44" t="s">
        <v>193</v>
      </c>
      <c r="B24" s="36">
        <v>460</v>
      </c>
      <c r="C24" s="36">
        <v>330</v>
      </c>
      <c r="D24" s="36">
        <v>420</v>
      </c>
      <c r="F24" s="40" t="s">
        <v>181</v>
      </c>
      <c r="G24" s="27" t="s">
        <v>128</v>
      </c>
      <c r="H24" s="27" t="s">
        <v>129</v>
      </c>
      <c r="I24" s="27" t="s">
        <v>151</v>
      </c>
      <c r="J24" s="27" t="s">
        <v>131</v>
      </c>
      <c r="K24" s="41">
        <v>75</v>
      </c>
      <c r="L24" s="26" t="s">
        <v>194</v>
      </c>
      <c r="N24" s="40" t="s">
        <v>181</v>
      </c>
      <c r="O24" s="27" t="s">
        <v>135</v>
      </c>
      <c r="P24" s="27" t="s">
        <v>129</v>
      </c>
      <c r="Q24" s="27" t="s">
        <v>130</v>
      </c>
      <c r="R24" s="27" t="s">
        <v>138</v>
      </c>
      <c r="S24" s="41">
        <v>125</v>
      </c>
      <c r="T24" s="26" t="s">
        <v>195</v>
      </c>
    </row>
    <row r="25" spans="1:20" ht="18" customHeight="1">
      <c r="A25" s="36"/>
      <c r="B25" s="36"/>
      <c r="C25" s="36"/>
      <c r="D25" s="36"/>
      <c r="F25" s="42" t="s">
        <v>181</v>
      </c>
      <c r="G25" s="18" t="s">
        <v>150</v>
      </c>
      <c r="H25" s="18" t="s">
        <v>129</v>
      </c>
      <c r="I25" s="18" t="s">
        <v>130</v>
      </c>
      <c r="J25" s="18" t="s">
        <v>131</v>
      </c>
      <c r="K25" s="43">
        <v>75</v>
      </c>
      <c r="L25" s="17" t="s">
        <v>196</v>
      </c>
      <c r="N25" s="42" t="s">
        <v>181</v>
      </c>
      <c r="O25" s="18" t="s">
        <v>128</v>
      </c>
      <c r="P25" s="18" t="s">
        <v>140</v>
      </c>
      <c r="Q25" s="18" t="s">
        <v>151</v>
      </c>
      <c r="R25" s="18" t="s">
        <v>138</v>
      </c>
      <c r="S25" s="43">
        <v>125</v>
      </c>
      <c r="T25" s="17" t="s">
        <v>196</v>
      </c>
    </row>
    <row r="26" spans="1:20" ht="18" customHeight="1">
      <c r="A26" s="36"/>
      <c r="B26" s="36"/>
      <c r="C26" s="36"/>
      <c r="D26" s="36"/>
      <c r="F26" s="40" t="s">
        <v>181</v>
      </c>
      <c r="G26" s="27" t="s">
        <v>128</v>
      </c>
      <c r="H26" s="27" t="s">
        <v>140</v>
      </c>
      <c r="I26" s="27" t="s">
        <v>130</v>
      </c>
      <c r="J26" s="27" t="s">
        <v>131</v>
      </c>
      <c r="K26" s="41">
        <v>95</v>
      </c>
      <c r="L26" s="26" t="s">
        <v>179</v>
      </c>
      <c r="N26" s="40" t="s">
        <v>181</v>
      </c>
      <c r="O26" s="27" t="s">
        <v>150</v>
      </c>
      <c r="P26" s="27" t="s">
        <v>136</v>
      </c>
      <c r="Q26" s="27" t="s">
        <v>151</v>
      </c>
      <c r="R26" s="27" t="s">
        <v>138</v>
      </c>
      <c r="S26" s="41">
        <v>125</v>
      </c>
      <c r="T26" s="26" t="s">
        <v>170</v>
      </c>
    </row>
    <row r="27" spans="1:20" ht="18" customHeight="1">
      <c r="A27" s="36"/>
      <c r="B27" s="36"/>
      <c r="C27" s="36"/>
      <c r="D27" s="36"/>
      <c r="F27" s="42" t="s">
        <v>181</v>
      </c>
      <c r="G27" s="18" t="s">
        <v>128</v>
      </c>
      <c r="H27" s="18" t="s">
        <v>129</v>
      </c>
      <c r="I27" s="18" t="s">
        <v>130</v>
      </c>
      <c r="J27" s="18" t="s">
        <v>131</v>
      </c>
      <c r="K27" s="43">
        <v>95</v>
      </c>
      <c r="L27" s="17" t="s">
        <v>197</v>
      </c>
      <c r="N27" s="42" t="s">
        <v>181</v>
      </c>
      <c r="O27" s="18" t="s">
        <v>135</v>
      </c>
      <c r="P27" s="18" t="s">
        <v>136</v>
      </c>
      <c r="Q27" s="18" t="s">
        <v>137</v>
      </c>
      <c r="R27" s="18" t="s">
        <v>198</v>
      </c>
      <c r="S27" s="43">
        <v>140</v>
      </c>
      <c r="T27" s="17" t="s">
        <v>170</v>
      </c>
    </row>
    <row r="28" spans="1:20" ht="18" customHeight="1">
      <c r="A28" s="36"/>
      <c r="B28" s="36"/>
      <c r="C28" s="36"/>
      <c r="D28" s="36"/>
      <c r="F28" s="40" t="s">
        <v>181</v>
      </c>
      <c r="G28" s="27" t="s">
        <v>135</v>
      </c>
      <c r="H28" s="27" t="s">
        <v>174</v>
      </c>
      <c r="I28" s="27" t="s">
        <v>137</v>
      </c>
      <c r="J28" s="27" t="s">
        <v>160</v>
      </c>
      <c r="K28" s="41">
        <v>95</v>
      </c>
      <c r="L28" s="26" t="s">
        <v>170</v>
      </c>
      <c r="N28" s="40" t="s">
        <v>181</v>
      </c>
      <c r="O28" s="27" t="s">
        <v>135</v>
      </c>
      <c r="P28" s="27" t="s">
        <v>174</v>
      </c>
      <c r="Q28" s="27" t="s">
        <v>137</v>
      </c>
      <c r="R28" s="27" t="s">
        <v>160</v>
      </c>
      <c r="S28" s="41">
        <v>150</v>
      </c>
      <c r="T28" s="26" t="s">
        <v>170</v>
      </c>
    </row>
    <row r="29" spans="1:20">
      <c r="A29" s="45" t="s">
        <v>199</v>
      </c>
      <c r="B29" s="36"/>
      <c r="C29" s="36"/>
      <c r="D29" s="36"/>
      <c r="E29" s="36"/>
      <c r="F29" s="36"/>
      <c r="G29" s="36"/>
      <c r="H29" s="36"/>
      <c r="I29" s="36"/>
      <c r="J29" s="36"/>
      <c r="K29" s="36"/>
      <c r="L29" s="36"/>
      <c r="M29" s="36"/>
      <c r="N29" s="36"/>
      <c r="O29" s="36"/>
      <c r="P29" s="36"/>
      <c r="Q29" s="36"/>
      <c r="R29" s="36"/>
    </row>
    <row r="30" spans="1:20" ht="54.75">
      <c r="A30" s="35" t="s">
        <v>200</v>
      </c>
      <c r="B30" s="36"/>
      <c r="C30" s="36"/>
      <c r="D30" s="36"/>
      <c r="E30" s="36"/>
      <c r="F30" s="36"/>
      <c r="G30" s="36"/>
      <c r="H30" s="36"/>
      <c r="I30" s="36"/>
      <c r="J30" s="36"/>
      <c r="K30" s="36"/>
      <c r="L30" s="36"/>
      <c r="M30" s="36"/>
      <c r="N30" s="36"/>
      <c r="O30" s="36"/>
      <c r="P30" s="36"/>
      <c r="Q30" s="36"/>
      <c r="R30" s="36"/>
    </row>
  </sheetData>
  <mergeCells count="3">
    <mergeCell ref="F2:L2"/>
    <mergeCell ref="N2:T2"/>
    <mergeCell ref="A2:D2"/>
  </mergeCells>
  <pageMargins left="0.7" right="0.7" top="0.75" bottom="0.75" header="0.3" footer="0.3"/>
</worksheet>
</file>

<file path=docMetadata/LabelInfo.xml><?xml version="1.0" encoding="utf-8"?>
<clbl:labelList xmlns:clbl="http://schemas.microsoft.com/office/2020/mipLabelMetadata">
  <clbl:label id="{f6b6dd5b-f02f-441a-99a0-162ac5060bd2}" enabled="0" method="" siteId="{f6b6dd5b-f02f-441a-99a0-162ac5060bd2}"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Sumedh Chinta</dc:creator>
  <cp:keywords/>
  <dc:description/>
  <cp:lastModifiedBy/>
  <cp:revision/>
  <dcterms:created xsi:type="dcterms:W3CDTF">2025-04-28T02:19:49Z</dcterms:created>
  <dcterms:modified xsi:type="dcterms:W3CDTF">2025-05-02T18:15:44Z</dcterms:modified>
  <cp:category/>
  <cp:contentStatus/>
</cp:coreProperties>
</file>